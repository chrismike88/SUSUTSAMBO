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NERACA ENERGI" sheetId="2" r:id="rId2"/>
    <sheet name="INPUT REALISASI" sheetId="3" r:id="rId3"/>
    <sheet name="WORK PLAN" sheetId="4" r:id="rId4"/>
    <sheet name="ANALISIS TEKNIS" sheetId="5" r:id="rId5"/>
    <sheet name="P2TL" sheetId="6" r:id="rId6"/>
    <sheet name="RENCANA AKSI" sheetId="7" r:id="rId7"/>
    <sheet name="SIMULASI TARGET" sheetId="8" r:id="rId8"/>
    <sheet name="DATA GRAFIK" sheetId="9" r:id="rId9"/>
    <sheet name="PANDUAN" sheetId="10" r:id="rId10"/>
  </sheets>
  <definedNames>
    <definedName name="_xlnm._FilterDatabase" localSheetId="1" hidden="1">'NERACA ENERGI'!$B$6:$M$18</definedName>
    <definedName name="_xlnm._FilterDatabase" localSheetId="6" hidden="1">'RENCANA AKSI'!$B$6:$M$18</definedName>
    <definedName name="_xlnm._FilterDatabase" localSheetId="3" hidden="1">'WORK PLAN'!$B$6:$R$28</definedName>
  </definedNames>
  <calcPr calcId="124519" fullCalcOnLoad="1"/>
</workbook>
</file>

<file path=xl/sharedStrings.xml><?xml version="1.0" encoding="utf-8"?>
<sst xmlns="http://schemas.openxmlformats.org/spreadsheetml/2006/main" count="673" uniqueCount="434">
  <si>
    <t>DASHBOARD MONITORING SUSUT ENERGI</t>
  </si>
  <si>
    <t>Susut Teknis &amp; Non-Teknis · Tahun 2026 · Target akhir tahun 5.85%</t>
  </si>
  <si>
    <t>ULP Samboja  |  UP3 Balikpapan
Periode data: Agustus 2026</t>
  </si>
  <si>
    <t>SUSUT YTD (KUMULATIF)</t>
  </si>
  <si>
    <t>6.54%</t>
  </si>
  <si>
    <t>Target YTD 6.38%  ·  deviasi +0.16 pp</t>
  </si>
  <si>
    <t>SUSUT BULAN BERJALAN</t>
  </si>
  <si>
    <t>6.03%</t>
  </si>
  <si>
    <t>Target 5.95%  ·  deviasi +0.08 pp</t>
  </si>
  <si>
    <t>PERBAIKAN vs TAHUN LALU</t>
  </si>
  <si>
    <t>0.57 pp</t>
  </si>
  <si>
    <t>Baseline 7.12%  -&gt;  6.54%</t>
  </si>
  <si>
    <t>NILAI SUSUT YTD</t>
  </si>
  <si>
    <t>Rp 15.76 M</t>
  </si>
  <si>
    <t>10.777.367 kWh energi hilang</t>
  </si>
  <si>
    <t>CAPAIAN WORK PLAN</t>
  </si>
  <si>
    <t>75.0%</t>
  </si>
  <si>
    <t>2 tercapai · 4 waspada · 5 terlambat · 11 kritis</t>
  </si>
  <si>
    <t>kWh DISELAMATKAN YTD</t>
  </si>
  <si>
    <t>1.96 juta</t>
  </si>
  <si>
    <t>dari target 3.89 juta kWh setahun</t>
  </si>
  <si>
    <t>GAP KE TARGET (SEP-DES)</t>
  </si>
  <si>
    <t>1.30 juta kWh</t>
  </si>
  <si>
    <t>setara Rp 1.90 M  ·  326 rb kWh/bulan</t>
  </si>
  <si>
    <t>SISA POTENSI WORK PLAN</t>
  </si>
  <si>
    <t>1.93 juta kWh</t>
  </si>
  <si>
    <t>CUKUP untuk menutup gap bila program dieksekusi penuh</t>
  </si>
  <si>
    <t>STATUS UNIT: PERLU AKSELERASI   ·   PUTUSAN TARGET AKHIR TAHUN: MASIH BISA DICAPAI — syaratnya seluruh program KRITIS dieksekusi penuh</t>
  </si>
  <si>
    <t>TREN SUSUT BULANAN vs TARGET</t>
  </si>
  <si>
    <t>KOMPOSISI SUSUT TEKNIS vs NON-TEKNIS</t>
  </si>
  <si>
    <t>PROGRAM DENGAN GAP TERBESAR (kWh belum terealisasi)</t>
  </si>
  <si>
    <t>KOMPONEN RUGI TEKNIS (kWh/bulan)</t>
  </si>
  <si>
    <t>PERINGKAT PENYULANG BERDASARKAN SUSUT</t>
  </si>
  <si>
    <t>CAPAIAN WORK PLAN PER KATEGORI</t>
  </si>
  <si>
    <t>Data pada berkas ini adalah CONTOH untuk keperluan pembangunan dashboard. Ganti dengan data riil dari AP2T, XPower, Aplikasi P2TL, dan SCADA/AMR.</t>
  </si>
  <si>
    <t>NERACA ENERGI BULANAN</t>
  </si>
  <si>
    <t>kWh Salur (APP outgoing GI) vs kWh Jual (AP2T/TUL) — dasar perhitungan susut</t>
  </si>
  <si>
    <t>Bulan</t>
  </si>
  <si>
    <t>Status</t>
  </si>
  <si>
    <t>Susut (%)</t>
  </si>
  <si>
    <t>Target (%)</t>
  </si>
  <si>
    <t>Susut YTD (%)</t>
  </si>
  <si>
    <t>Deviasi (pp)</t>
  </si>
  <si>
    <t>kWh Salur</t>
  </si>
  <si>
    <t>kWh Jual</t>
  </si>
  <si>
    <t>kWh Susut</t>
  </si>
  <si>
    <t>Susut Teknis (%)</t>
  </si>
  <si>
    <t>Susut Non-Teknis (%)</t>
  </si>
  <si>
    <t>Nilai Susut (Rp)</t>
  </si>
  <si>
    <t>Jan</t>
  </si>
  <si>
    <t>REALISASI</t>
  </si>
  <si>
    <t>Feb</t>
  </si>
  <si>
    <t>Mar</t>
  </si>
  <si>
    <t>Apr</t>
  </si>
  <si>
    <t>Mei</t>
  </si>
  <si>
    <t>Jun</t>
  </si>
  <si>
    <t>Jul</t>
  </si>
  <si>
    <t>Ags</t>
  </si>
  <si>
    <t>Sep</t>
  </si>
  <si>
    <t>PROYEKSI</t>
  </si>
  <si>
    <t>Okt</t>
  </si>
  <si>
    <t>Nov</t>
  </si>
  <si>
    <t>Des</t>
  </si>
  <si>
    <t>TOTAL / RATA2</t>
  </si>
  <si>
    <t>Rumus susut = (kWh Salur - kWh Jual) / kWh Salur x 100%.  Baris PROYEKSI adalah rencana; ganti menjadi REALISASI setelah data bulan tersebut terbit.</t>
  </si>
  <si>
    <t>INPUT REALISASI BULANAN WORK PLAN</t>
  </si>
  <si>
    <t>Sel kuning = tempat mengetik. Seluruh sheet lain mengikuti isian di sini.</t>
  </si>
  <si>
    <t xml:space="preserve">  Isi HANYA sel berwarna kuning. Kolom target sudah terkunci sesuai work plan; kolom capaian dihitung otomatis.</t>
  </si>
  <si>
    <t>Kode</t>
  </si>
  <si>
    <t>Item Work Plan</t>
  </si>
  <si>
    <t>Satuan</t>
  </si>
  <si>
    <t>Total Realisasi</t>
  </si>
  <si>
    <t>Target Tahun</t>
  </si>
  <si>
    <t>T-01</t>
  </si>
  <si>
    <t>Penyeimbangan beban trafo distribusi (balancing)</t>
  </si>
  <si>
    <t>gardu</t>
  </si>
  <si>
    <t>T-02</t>
  </si>
  <si>
    <t>Penggantian konduktor JTR usang ke twisted cable</t>
  </si>
  <si>
    <t>kms</t>
  </si>
  <si>
    <t>T-03</t>
  </si>
  <si>
    <t>Pemasangan trafo sisip / uprating trafo overload</t>
  </si>
  <si>
    <t>unit</t>
  </si>
  <si>
    <t>T-04</t>
  </si>
  <si>
    <t>Penggantian SR &gt; 30 m &amp; kabel SR usang</t>
  </si>
  <si>
    <t>pelanggan</t>
  </si>
  <si>
    <t>T-05</t>
  </si>
  <si>
    <t>Rekonfigurasi / pemecahan beban penyulang</t>
  </si>
  <si>
    <t>penyulang</t>
  </si>
  <si>
    <t>T-06</t>
  </si>
  <si>
    <t>Pemasangan kapasitor bank (perbaikan cos phi)</t>
  </si>
  <si>
    <t>T-07</t>
  </si>
  <si>
    <t>Penggantian konektor &amp; retensioning sambungan</t>
  </si>
  <si>
    <t>titik</t>
  </si>
  <si>
    <t>T-08</t>
  </si>
  <si>
    <t>Pemasangan alat ukur (AMR) sisi gardu distribusi</t>
  </si>
  <si>
    <t>T-09</t>
  </si>
  <si>
    <t>Pemeliharaan preventif &amp; perbaikan grounding gardu</t>
  </si>
  <si>
    <t>T-10</t>
  </si>
  <si>
    <t>Uprating konduktor JTM (AAAC 150 mm2)</t>
  </si>
  <si>
    <t>N-01</t>
  </si>
  <si>
    <t>P2TL - pencapaian Target Operasi (TO)</t>
  </si>
  <si>
    <t>N-02</t>
  </si>
  <si>
    <t>P2TL - perolehan kWh temuan pelanggaran</t>
  </si>
  <si>
    <t>kWh</t>
  </si>
  <si>
    <t>N-03</t>
  </si>
  <si>
    <t>P2TL - realisasi penagihan tagihan susulan</t>
  </si>
  <si>
    <t>Rp juta</t>
  </si>
  <si>
    <t>N-04</t>
  </si>
  <si>
    <t>Penggantian kWh meter rusak / macet / buram</t>
  </si>
  <si>
    <t>N-05</t>
  </si>
  <si>
    <t>Penggantian kWh meter tua (&gt; 15 tahun)</t>
  </si>
  <si>
    <t>N-06</t>
  </si>
  <si>
    <t>Pemasangan / normalisasi AMR pelanggan &gt;= 41,5 kVA</t>
  </si>
  <si>
    <t>N-07</t>
  </si>
  <si>
    <t>Pemeriksaan APP pelanggan potensial (&gt;= 3.500 VA)</t>
  </si>
  <si>
    <t>N-08</t>
  </si>
  <si>
    <t>Penurunan DLPD (Daftar Langganan Perlu Diperhatikan)</t>
  </si>
  <si>
    <t>rekening</t>
  </si>
  <si>
    <t>N-09</t>
  </si>
  <si>
    <t>Penertiban &amp; pemeteran PJU ilegal</t>
  </si>
  <si>
    <t>N-10</t>
  </si>
  <si>
    <t>Validasi faktor kali &amp; Data Induk Langganan (DIL)</t>
  </si>
  <si>
    <t>N-11</t>
  </si>
  <si>
    <t>Peningkatan akurasi baca meter (foto stand / RBM)</t>
  </si>
  <si>
    <t>N-12</t>
  </si>
  <si>
    <t>Penormalan sambungan langsung / sambungan liar</t>
  </si>
  <si>
    <t>Catatan: satuan mengikuti kolom Satuan. Untuk N-02 isikan kWh temuan; untuk N-03 isikan realisasi tagih dalam juta rupiah.</t>
  </si>
  <si>
    <t>CAPAIAN PER ITEM WORK PLAN PENURUNAN SUSUT</t>
  </si>
  <si>
    <t>Realisasi s/d Agustus 2026 terhadap target bulanan dan target akhir tahun</t>
  </si>
  <si>
    <t>Kategori</t>
  </si>
  <si>
    <t>Target s/d Bln</t>
  </si>
  <si>
    <t>Realisasi s/d Bln</t>
  </si>
  <si>
    <t>Capaian YTD (%)</t>
  </si>
  <si>
    <t>Capaian thd Target Tahun (%)</t>
  </si>
  <si>
    <t>Sisa Target</t>
  </si>
  <si>
    <t>Kebutuhan / Bulan</t>
  </si>
  <si>
    <t>Run-rate Bulanan</t>
  </si>
  <si>
    <t>Faktor Kejar (x)</t>
  </si>
  <si>
    <t>kWh Selamat YTD</t>
  </si>
  <si>
    <t>Sisa Potensi kWh</t>
  </si>
  <si>
    <t>PIC</t>
  </si>
  <si>
    <t>Teknis</t>
  </si>
  <si>
    <t>Supervisor Teknik</t>
  </si>
  <si>
    <t>Non-Teknis</t>
  </si>
  <si>
    <t>Supervisor Transaksi Energi</t>
  </si>
  <si>
    <t>Supervisor Pelayanan Pelanggan</t>
  </si>
  <si>
    <t>TOTAL / RATA-RATA</t>
  </si>
  <si>
    <t>FAKTOR KEJAR = kebutuhan per bulan tersisa dibagi run-rate bulanan saat ini. Nilai 1,0 berarti cukup mempertahankan kecepatan sekarang; nilai 3,0 berarti harus tiga kali lebih cepat. Item dengan faktor kejar &gt;= 2 disorot merah dan wajib masuk rapat mingguan.</t>
  </si>
  <si>
    <t>ANALISIS SUSUT TEKNIS PER PENYULANG</t>
  </si>
  <si>
    <t>Profil jaringan, indeks prioritas penanganan, dan dekomposisi rugi teknis</t>
  </si>
  <si>
    <t>Nama Penyulang</t>
  </si>
  <si>
    <t>Gardu</t>
  </si>
  <si>
    <t>Pelanggan</t>
  </si>
  <si>
    <t>Kapasitas (kVA)</t>
  </si>
  <si>
    <t>JTM (kms)</t>
  </si>
  <si>
    <t>JTR (kms)</t>
  </si>
  <si>
    <t>Unbalance (%)</t>
  </si>
  <si>
    <t>Cos phi</t>
  </si>
  <si>
    <t>Drop Tegangan (%)</t>
  </si>
  <si>
    <t>SR &gt; 30 m</t>
  </si>
  <si>
    <t>Indeks Prioritas</t>
  </si>
  <si>
    <t>Kelas</t>
  </si>
  <si>
    <t>SBJ-01</t>
  </si>
  <si>
    <t>Kuala Samboja</t>
  </si>
  <si>
    <t>KRITIS</t>
  </si>
  <si>
    <t>SBJ-02</t>
  </si>
  <si>
    <t>Sungai Merdeka</t>
  </si>
  <si>
    <t>SBJ-03</t>
  </si>
  <si>
    <t>Handil Baru</t>
  </si>
  <si>
    <t>SBJ-04</t>
  </si>
  <si>
    <t>Argosari</t>
  </si>
  <si>
    <t>TINGGI</t>
  </si>
  <si>
    <t>SBJ-05</t>
  </si>
  <si>
    <t>Bukit Raya</t>
  </si>
  <si>
    <t>SBJ-06</t>
  </si>
  <si>
    <t>Karya Merdeka</t>
  </si>
  <si>
    <t>SBJ-07</t>
  </si>
  <si>
    <t>Amborawang</t>
  </si>
  <si>
    <t>SEDANG</t>
  </si>
  <si>
    <t>SBJ-08</t>
  </si>
  <si>
    <t>Tani Bhakti</t>
  </si>
  <si>
    <t>SBJ-09</t>
  </si>
  <si>
    <t>Beringin Agung</t>
  </si>
  <si>
    <t>SBJ-10</t>
  </si>
  <si>
    <t>Sungai Seluang</t>
  </si>
  <si>
    <t>RENDAH</t>
  </si>
  <si>
    <t>AMBANG BATAS ACUAN (SPLN / praktik operasi distribusi)</t>
  </si>
  <si>
    <t>Parameter</t>
  </si>
  <si>
    <t>Ambang Ideal</t>
  </si>
  <si>
    <t>Tindakan bila terlampaui</t>
  </si>
  <si>
    <t>Unbalance arus antar fasa</t>
  </si>
  <si>
    <t>&lt;= 10%</t>
  </si>
  <si>
    <t>&gt; 15% wajib penyeimbangan beban dalam 7 hari</t>
  </si>
  <si>
    <t>Cos phi (faktor daya)</t>
  </si>
  <si>
    <t>&gt;= 0,90</t>
  </si>
  <si>
    <t>&lt; 0,90 -&gt; pasang kapasitor bank</t>
  </si>
  <si>
    <t>Drop tegangan ujung</t>
  </si>
  <si>
    <t>&lt;= 5%</t>
  </si>
  <si>
    <t>&gt; 5% -&gt; uprating konduktor / trafo sisip</t>
  </si>
  <si>
    <t>Panjang SR</t>
  </si>
  <si>
    <t>&lt;= 30 m</t>
  </si>
  <si>
    <t>&gt; 30 m -&gt; rugi SR signifikan, jadwalkan penggantian</t>
  </si>
  <si>
    <t>Pembebanan trafo</t>
  </si>
  <si>
    <t>&lt;= 80%</t>
  </si>
  <si>
    <t>&gt; 80% -&gt; uprating atau trafo sisip</t>
  </si>
  <si>
    <t>Panjang JTR per gardu</t>
  </si>
  <si>
    <t>&lt;= 350 m</t>
  </si>
  <si>
    <t>&gt; 350 m -&gt; pasang trafo sisip</t>
  </si>
  <si>
    <t>KOMPOSISI SUSUT BULAN BERJALAN</t>
  </si>
  <si>
    <t>Komponen</t>
  </si>
  <si>
    <t>Persen</t>
  </si>
  <si>
    <t>Susut Teknis</t>
  </si>
  <si>
    <t>Susut Non-Teknis</t>
  </si>
  <si>
    <t>TOTAL SUSUT</t>
  </si>
  <si>
    <t>DEKOMPOSISI RUGI TEKNIS PER KOMPONEN JARINGAN</t>
  </si>
  <si>
    <t>kWh Rugi / Bulan</t>
  </si>
  <si>
    <t>Porsi (%)</t>
  </si>
  <si>
    <t>Nilai (Rp/bulan)</t>
  </si>
  <si>
    <t>Program penanganan</t>
  </si>
  <si>
    <t>Jaringan Tegangan Rendah (JTR)</t>
  </si>
  <si>
    <t>T-02, T-03</t>
  </si>
  <si>
    <t>Trafo distribusi (rugi inti + belitan)</t>
  </si>
  <si>
    <t>T-01, T-03, T-09</t>
  </si>
  <si>
    <t>Sambungan Rumah &amp; APP</t>
  </si>
  <si>
    <t>Jaringan Tegangan Menengah (JTM)</t>
  </si>
  <si>
    <t>T-05, T-06, T-10</t>
  </si>
  <si>
    <t>Konektor &amp; titik sambung</t>
  </si>
  <si>
    <t>TOTAL RUGI TEKNIS</t>
  </si>
  <si>
    <t>PENERTIBAN PEMAKAIAN TENAGA LISTRIK (P2TL)</t>
  </si>
  <si>
    <t>Rekap pemeriksaan, temuan pelanggaran, dan efektivitas penagihan tagihan susulan</t>
  </si>
  <si>
    <t>Pemeriksaan</t>
  </si>
  <si>
    <t>Temuan</t>
  </si>
  <si>
    <t>Hit Rate (%)</t>
  </si>
  <si>
    <t>kWh Temuan</t>
  </si>
  <si>
    <t>Tagihan Susulan (Rp)</t>
  </si>
  <si>
    <t>Terbayar (Rp)</t>
  </si>
  <si>
    <t>Efektivitas Tagih (%)</t>
  </si>
  <si>
    <t>TOTAL</t>
  </si>
  <si>
    <t>REKAP PER GOLONGAN PELANGGARAN (s/d bulan berjalan)</t>
  </si>
  <si>
    <t>Golongan</t>
  </si>
  <si>
    <t>Uraian</t>
  </si>
  <si>
    <t>Porsi kWh (%)</t>
  </si>
  <si>
    <t>P-I</t>
  </si>
  <si>
    <t>Mempengaruhi batas daya</t>
  </si>
  <si>
    <t>P-II</t>
  </si>
  <si>
    <t>Mempengaruhi pengukuran energi</t>
  </si>
  <si>
    <t>P-III</t>
  </si>
  <si>
    <t>Mempengaruhi batas daya &amp; pengukuran energi</t>
  </si>
  <si>
    <t>P-IV</t>
  </si>
  <si>
    <t>Bukan pelanggan (sambungan langsung)</t>
  </si>
  <si>
    <t>RENCANA AKSI PERCEPATAN PENCAPAIAN TARGET</t>
  </si>
  <si>
    <t>Apa yang harus dilakukan Sep-Des untuk menutup gap menuju target akhir tahun</t>
  </si>
  <si>
    <t>No</t>
  </si>
  <si>
    <t>Prioritas</t>
  </si>
  <si>
    <t>Aksi yang harus dilakukan</t>
  </si>
  <si>
    <t>Akar masalah</t>
  </si>
  <si>
    <t>Sisa Volume</t>
  </si>
  <si>
    <t>Kebutuhan/Bulan</t>
  </si>
  <si>
    <t>Dampak kWh/Bulan</t>
  </si>
  <si>
    <t>Dampak Rp (sisa tahun)</t>
  </si>
  <si>
    <t>Progres (%)</t>
  </si>
  <si>
    <t>Target Selesai</t>
  </si>
  <si>
    <t>SANGAT TINGGI</t>
  </si>
  <si>
    <t>Non-Tek</t>
  </si>
  <si>
    <t>Sensus &amp; pemeteran PJU ilegal di 4 kecamatan (Samboja, Samboja Barat, Muara Jawa, Loa Janan Ilir) — bentuk tim gabungan dengan Pemda/Dishub</t>
  </si>
  <si>
    <t>PJU tanpa meter &amp; sambungan langsung ke JTR; kWh terpakai tidak tercatat</t>
  </si>
  <si>
    <t>2026-11-30</t>
  </si>
  <si>
    <t>Task force penagihan tagihan susulan P2TL: rekonsiliasi piutang, surat panggilan, opsi cicilan, pemutusan bagi yang menunggak &gt; 30 hari</t>
  </si>
  <si>
    <t>Temuan P2TL tinggi tetapi realisasi tagih hanya 74% — kWh temuan tidak berkonversi jadi pendapatan</t>
  </si>
  <si>
    <t>2026-12-15</t>
  </si>
  <si>
    <t>Percepatan uprating konduktor JTM penyulang SBJ-02 Sungai Merdeka &amp; SBJ-01 Kuala Samboja (segmen ujung, drop tegangan &gt; 7%)</t>
  </si>
  <si>
    <t>Penyulang terpanjang dengan drop tegangan 6,8–7,4% dan penampang konduktor tidak memadai</t>
  </si>
  <si>
    <t>2026-12-20</t>
  </si>
  <si>
    <t>Pemasangan 5 unit kapasitor bank sisa pada penyulang cos phi &lt; 0,90 (SBJ-01, SBJ-02, SBJ-03)</t>
  </si>
  <si>
    <t>Cos phi 0,86–0,89 menaikkan arus dan rugi I²R pada JTM/trafo</t>
  </si>
  <si>
    <t>Rekonfigurasi &amp; pemecahan beban 3 penyulang tersisa; manuver beban ke SBJ-09 &amp; SBJ-10 yang masih ringan</t>
  </si>
  <si>
    <t>Ketimpangan beban antar penyulang; SBJ-01/02 padat, SBJ-09/10 ringan</t>
  </si>
  <si>
    <t>2026-12-10</t>
  </si>
  <si>
    <t>Pengadaan &amp; penggantian 700 unit kWh meter tua &gt; 15 tahun (prioritas daya &gt;= 2.200 VA)</t>
  </si>
  <si>
    <t>Meter tua cenderung lambat/under-register 2–5%</t>
  </si>
  <si>
    <t>Operasi penertiban sambungan langsung di area padat Handil Baru &amp; Kuala Samboja bersama aparat</t>
  </si>
  <si>
    <t>Permukiman padat &amp; pendatang proyek IKN; sambungan liar dari JTR</t>
  </si>
  <si>
    <t>2026-11-15</t>
  </si>
  <si>
    <t>Pemeriksaan APP 745 pelanggan potensial sisa; prioritaskan pelanggan dengan penurunan pemakaian &gt; 30% YoY</t>
  </si>
  <si>
    <t>Anomali pemakaian belum dianalisis sistematis</t>
  </si>
  <si>
    <t>Pemasangan 5 trafo sisip pada gardu overload &gt; 80% &amp; JTR &gt; 350 m</t>
  </si>
  <si>
    <t>JTR terlalu panjang dari gardu menyebabkan rugi I²R besar</t>
  </si>
  <si>
    <t>2026-12-05</t>
  </si>
  <si>
    <t>Penggantian 7,1 kms JTR usang (kawat telanjang) menjadi twisted cable</t>
  </si>
  <si>
    <t>JTR kawat telanjang rawan rugi &amp; pencurian</t>
  </si>
  <si>
    <t>Normalisasi 35 AMR pelanggan besar yang gagal baca / offline &gt; 3 hari</t>
  </si>
  <si>
    <t>Sinyal modem lemah &amp; meter error, pembacaan jadi estimasi</t>
  </si>
  <si>
    <t>2026-10-31</t>
  </si>
  <si>
    <t>RUTIN</t>
  </si>
  <si>
    <t>Lanjutkan pengukuran &amp; penyeimbangan beban trafo (unbalance &gt; 15% wajib ditindak dalam 7 hari)</t>
  </si>
  <si>
    <t>Unbalance rata-rata unit 13,8%; SBJ-01 mencapai 21,4%</t>
  </si>
  <si>
    <t>Rutin bulanan</t>
  </si>
  <si>
    <t>TOTAL DAMPAK RENCANA AKSI</t>
  </si>
  <si>
    <t>Gap yang harus ditutup Sep-Des adalah 1.302.223 kWh (skenario susut kumulatif). Total dampak rencana aksi di atas dihitung dari sisa target tiap program dikalikan faktor kWh selamat per satuan.</t>
  </si>
  <si>
    <t>SIMULASI PENCAPAIAN TARGET AKHIR TAHUN</t>
  </si>
  <si>
    <t>Dua tafsir target 5,85% dan konsekuensi operasionalnya</t>
  </si>
  <si>
    <t>ASUMSI YANG BISA DIUBAH</t>
  </si>
  <si>
    <t>Target susut akhir tahun (%)</t>
  </si>
  <si>
    <t>Susut bulan terakhir realisasi (%)</t>
  </si>
  <si>
    <t>kWh salur kumulatif s/d bulan realisasi</t>
  </si>
  <si>
    <t>kWh susut kumulatif s/d bulan realisasi</t>
  </si>
  <si>
    <t>Proyeksi kWh salur Sep-Des</t>
  </si>
  <si>
    <t>Proyeksi kWh salur Desember</t>
  </si>
  <si>
    <t>Tarif rata-rata (Rp/kWh)</t>
  </si>
  <si>
    <t>SKENARIO A — target dimaknai SUSUT KUMULATIF (YTD) akhir tahun</t>
  </si>
  <si>
    <t>Tafsir yang dipakai dalam evaluasi kinerja RKAP</t>
  </si>
  <si>
    <t>Perhitungan</t>
  </si>
  <si>
    <t>Nilai</t>
  </si>
  <si>
    <t>kWh susut maksimum setahun agar target tercapai</t>
  </si>
  <si>
    <t>kWh susut yang masih boleh terjadi Sep-Des</t>
  </si>
  <si>
    <t>Setara susut Sep-Des maksimum</t>
  </si>
  <si>
    <t>%</t>
  </si>
  <si>
    <t>kWh susut Sep-Des bila tanpa aksi tambahan</t>
  </si>
  <si>
    <t>GAP kWh yang harus diselamatkan</t>
  </si>
  <si>
    <t>GAP per bulan (4 bulan tersisa)</t>
  </si>
  <si>
    <t>kWh/bulan</t>
  </si>
  <si>
    <t>Nilai finansial gap</t>
  </si>
  <si>
    <t>Rp</t>
  </si>
  <si>
    <t>SKENARIO B — target dimaknai SUSUT BULAN DESEMBER (exit rate)</t>
  </si>
  <si>
    <t>Tafsir yang dipakai untuk menilai 'kondisi akhir' jaringan</t>
  </si>
  <si>
    <t>Penurunan yang dibutuhkan dari bulan terakhir</t>
  </si>
  <si>
    <t>pp</t>
  </si>
  <si>
    <t>kWh susut maksimum di bulan Desember</t>
  </si>
  <si>
    <t>kWh susut Desember bila tanpa aksi tambahan</t>
  </si>
  <si>
    <t>GAP kWh yang harus diselamatkan di Desember</t>
  </si>
  <si>
    <t>UJI KECUKUPAN: apakah sisa work plan mampu menutup gap?</t>
  </si>
  <si>
    <t>Sisa potensi kWh seluruh work plan (Sep-Des)</t>
  </si>
  <si>
    <t>Gap skenario A</t>
  </si>
  <si>
    <t>Rasio kecukupan (sisa potensi / gap)</t>
  </si>
  <si>
    <t>x</t>
  </si>
  <si>
    <t>PUTUSAN: sisa potensi work plan 1.926.702 kWh vs gap 1.302.223 kWh = 1.48x  -&gt;  TARGET MASIH BISA DICAPAI, syaratnya seluruh program KRITIS dieksekusi penuh sampai Desember.</t>
  </si>
  <si>
    <t>CATATAN PENTING</t>
  </si>
  <si>
    <t>•  Skenario A jauh lebih berat: susut Sep-Des harus turun ke 4.55% padahal bulan terakhir masih 6.03%. Pastikan dulu ke UP3 tafsir mana yang dipakai untuk menilai kinerja unit, karena konsekuensi kerjanya berbeda jauh.</t>
  </si>
  <si>
    <t>•  Skenario B hanya memerlukan penurunan 0.18 pp pada bulan Desember dan realistis dicapai dengan menuntaskan program yang berstatus KRITIS.</t>
  </si>
  <si>
    <t>•  Ubah sel kuning pada blok ASUMSI untuk menguji what-if: mis. bila proyeksi kWh salur naik karena beban proyek IKN, atau bila target direvisi UP3.</t>
  </si>
  <si>
    <t>SUMBER DATA GRAFIK DASHBOARD — jangan diubah manual</t>
  </si>
  <si>
    <t>Program</t>
  </si>
  <si>
    <t>N-02  P2TL - perolehan kWh temuan pelang</t>
  </si>
  <si>
    <t>N-09  Penertiban &amp; pemeteran PJU ilegal</t>
  </si>
  <si>
    <t>N-06  Pemasangan / normalisasi AMR pelan</t>
  </si>
  <si>
    <t>N-04  Penggantian kWh meter rusak / mace</t>
  </si>
  <si>
    <t>N-12  Penormalan sambungan langsung / sa</t>
  </si>
  <si>
    <t xml:space="preserve">T-03  Pemasangan trafo sisip / uprating </t>
  </si>
  <si>
    <t>T-02  Penggantian konduktor JTR usang ke</t>
  </si>
  <si>
    <t>T-05  Rekonfigurasi / pemecahan beban pe</t>
  </si>
  <si>
    <t>N-05  Penggantian kWh meter tua (&gt; 15 ta</t>
  </si>
  <si>
    <t>N-08  Penurunan DLPD (Daftar Langganan P</t>
  </si>
  <si>
    <t>Komponen Rugi Teknis</t>
  </si>
  <si>
    <t>JTR</t>
  </si>
  <si>
    <t>Trafo distribusi</t>
  </si>
  <si>
    <t>JTM</t>
  </si>
  <si>
    <t>Konektor</t>
  </si>
  <si>
    <t>Penyulang</t>
  </si>
  <si>
    <t>SBJ-01 Kuala Samboja</t>
  </si>
  <si>
    <t>SBJ-02 Sungai Merdeka</t>
  </si>
  <si>
    <t>SBJ-03 Handil Baru</t>
  </si>
  <si>
    <t>SBJ-04 Argosari</t>
  </si>
  <si>
    <t>SBJ-05 Bukit Raya</t>
  </si>
  <si>
    <t>SBJ-06 Karya Merdeka</t>
  </si>
  <si>
    <t>SBJ-07 Amborawang</t>
  </si>
  <si>
    <t>SBJ-08 Tani Bhakti</t>
  </si>
  <si>
    <t>SBJ-09 Beringin Agung</t>
  </si>
  <si>
    <t>SBJ-10 Sungai Seluang</t>
  </si>
  <si>
    <t>Capaian (%)</t>
  </si>
  <si>
    <t>PANDUAN PENGGUNAAN WORKBOOK</t>
  </si>
  <si>
    <t>Alur kerja bulanan, arti tiap sheet, dan definisi istilah</t>
  </si>
  <si>
    <t>ALUR KERJA BULANAN</t>
  </si>
  <si>
    <t>Langkah 1 — tiap awal bulan</t>
  </si>
  <si>
    <t>Buka sheet NERACA ENERGI. Isi kWh Salur dan kWh Jual bulan yang baru tutup, lalu ubah kolom Status dari PROYEKSI menjadi REALISASI.</t>
  </si>
  <si>
    <t>Langkah 2</t>
  </si>
  <si>
    <t>Buka sheet INPUT REALISASI. Isi realisasi tiap item work plan pada kolom bulan bersangkutan. Hanya sel kuning yang boleh diketik.</t>
  </si>
  <si>
    <t>Langkah 3</t>
  </si>
  <si>
    <t>Buka sheet WORK PLAN. Kolom Capaian, Sisa Target, dan Faktor Kejar berubah otomatis. Perhatikan item berstatus KRITIS dan Faktor Kejar &gt;= 2.</t>
  </si>
  <si>
    <t>Langkah 4</t>
  </si>
  <si>
    <t>Buka sheet SIMULASI TARGET. Perbarui asumsi kWh salur bila proyeksi berubah, lalu baca ulang berapa gap yang tersisa.</t>
  </si>
  <si>
    <t>Langkah 5</t>
  </si>
  <si>
    <t>Buka sheet RENCANA AKSI. Perbarui kolom Progres dan status. Bawa item prioritas SANGAT TINGGI ke rapat mingguan unit.</t>
  </si>
  <si>
    <t>Langkah 6</t>
  </si>
  <si>
    <t>Buka sheet DASHBOARD untuk bahan laporan ke UP3. Sheet ini sudah siap cetak (A4 landscape, 1 halaman lebar).</t>
  </si>
  <si>
    <t>ARTI TIAP SHEET</t>
  </si>
  <si>
    <t>DASHBOARD</t>
  </si>
  <si>
    <t>Ringkasan satu layar: kartu KPI, tren susut, komposisi, program dengan gap terbesar.</t>
  </si>
  <si>
    <t>NERACA ENERGI</t>
  </si>
  <si>
    <t>Basis perhitungan susut: kWh salur vs kWh jual per bulan.</t>
  </si>
  <si>
    <t>INPUT REALISASI</t>
  </si>
  <si>
    <t>Satu-satunya tempat mengetik realisasi bulanan work plan.</t>
  </si>
  <si>
    <t>WORK PLAN</t>
  </si>
  <si>
    <t>Capaian per item terhadap target bulanan dan target akhir tahun.</t>
  </si>
  <si>
    <t>ANALISIS TEKNIS</t>
  </si>
  <si>
    <t>Profil penyulang, indeks prioritas, dekomposisi rugi teknis, ambang batas acuan.</t>
  </si>
  <si>
    <t>P2TL</t>
  </si>
  <si>
    <t>Rekap pemeriksaan, temuan, dan efektivitas penagihan tagihan susulan.</t>
  </si>
  <si>
    <t>RENCANA AKSI</t>
  </si>
  <si>
    <t>Daftar aksi konkret Sep-Des beserta dampak kWh dan PIC.</t>
  </si>
  <si>
    <t>SIMULASI TARGET</t>
  </si>
  <si>
    <t>Kalkulator what-if dua tafsir target akhir tahun.</t>
  </si>
  <si>
    <t>DATA GRAFIK</t>
  </si>
  <si>
    <t>Sumber angka grafik dashboard. Tidak perlu diubah manual.</t>
  </si>
  <si>
    <t>DEFINISI ISTILAH</t>
  </si>
  <si>
    <t>Susut distribusi</t>
  </si>
  <si>
    <t>(kWh Salur - kWh Jual) / kWh Salur x 100%.</t>
  </si>
  <si>
    <t>Susut teknis</t>
  </si>
  <si>
    <t>Rugi alamiah pada trafo, JTM, JTR, SR, dan konektor akibat I^2R dan rugi inti. Tidak bisa nol, hanya bisa ditekan.</t>
  </si>
  <si>
    <t>Susut non-teknis</t>
  </si>
  <si>
    <t>Energi tersalur yang tidak tertagih: pelanggaran pemakaian, meter rusak/lambat, kesalahan baca, PJU ilegal, kesalahan administrasi.</t>
  </si>
  <si>
    <t>Faktor kejar</t>
  </si>
  <si>
    <t>Kebutuhan volume per bulan tersisa dibagi run-rate bulanan saat ini. &gt;= 2 berarti harus dua kali lebih cepat dari kecepatan sekarang.</t>
  </si>
  <si>
    <t>kWh selamat</t>
  </si>
  <si>
    <t>Perkiraan energi yang tidak jadi hilang karena satu satuan program dikerjakan. Faktor konversi ada di kolom kwh_selamat_per_unit.</t>
  </si>
  <si>
    <t>Unbalance</t>
  </si>
  <si>
    <t>Ketidakseimbangan arus antar fasa. Menimbulkan arus netral dan rugi tambahan.</t>
  </si>
  <si>
    <t>DLPD</t>
  </si>
  <si>
    <t>Daftar Langganan Perlu Diperhatikan — rekening dengan stand meter anomali.</t>
  </si>
  <si>
    <t>Penertiban Pemakaian Tenaga Listrik.</t>
  </si>
  <si>
    <t>Tagihan susulan</t>
  </si>
  <si>
    <t>Tagihan atas pelanggaran hasil P2TL. Baru menurunkan susut setelah benar-benar tertagih.</t>
  </si>
  <si>
    <t>SUMBER DATA</t>
  </si>
  <si>
    <t>kWh salur</t>
  </si>
  <si>
    <t>XPower / EIS-Susut — pembacaan APP outgoing penyulang di GI.</t>
  </si>
  <si>
    <t>kWh jual</t>
  </si>
  <si>
    <t>AP2T / TUL — rekening terbit bulan berjalan.</t>
  </si>
  <si>
    <t>Realisasi program teknis</t>
  </si>
  <si>
    <t>Laporan harian regu pemeliharaan &amp; aplikasi Gardu/JDN.</t>
  </si>
  <si>
    <t>Realisasi P2TL</t>
  </si>
  <si>
    <t>Aplikasi P2TL — berita acara pemeriksaan dan tagihan susulan.</t>
  </si>
  <si>
    <t>Unbalance, cos phi, tegangan</t>
  </si>
  <si>
    <t>SCADA, AMR gardu, dan hasil pengukuran manual.</t>
  </si>
  <si>
    <t>Data aset jaringan</t>
  </si>
  <si>
    <t>Aplikasi jaringan distribusi (panjang JTM/JTR, gardu, SR).</t>
  </si>
</sst>
</file>

<file path=xl/styles.xml><?xml version="1.0" encoding="utf-8"?>
<styleSheet xmlns="http://schemas.openxmlformats.org/spreadsheetml/2006/main">
  <numFmts count="7">
    <numFmt numFmtId="164" formatCode="0.00&quot;%&quot;"/>
    <numFmt numFmtId="165" formatCode="#,##0.00"/>
    <numFmt numFmtId="166" formatCode="#,##0"/>
    <numFmt numFmtId="167" formatCode="&quot;Rp&quot; #,##0"/>
    <numFmt numFmtId="168" formatCode="#,##0.0"/>
    <numFmt numFmtId="169" formatCode="0.0&quot;%&quot;"/>
    <numFmt numFmtId="170" formatCode="&quot;Rp&quot; #,##0.0,,&quot;  jt&quot;"/>
  </numFmts>
  <fonts count="27">
    <font>
      <sz val="11"/>
      <color theme="1"/>
      <name val="Calibri"/>
      <family val="2"/>
      <scheme val="minor"/>
    </font>
    <font>
      <b/>
      <sz val="20"/>
      <color rgb="FFFFFFFF"/>
      <name val="Segoe UI"/>
      <family val="2"/>
    </font>
    <font>
      <b/>
      <sz val="10"/>
      <color rgb="FFFFFFFF"/>
      <name val="Segoe UI"/>
      <family val="2"/>
    </font>
    <font>
      <sz val="10"/>
      <color rgb="FFB9D6EE"/>
      <name val="Segoe UI"/>
      <family val="2"/>
    </font>
    <font>
      <b/>
      <sz val="9"/>
      <color rgb="FF64748B"/>
      <name val="Segoe UI"/>
      <family val="2"/>
    </font>
    <font>
      <b/>
      <sz val="22"/>
      <color rgb="FFDC2626"/>
      <name val="Segoe UI"/>
      <family val="2"/>
    </font>
    <font>
      <b/>
      <sz val="22"/>
      <color rgb="FFF59E0B"/>
      <name val="Segoe UI"/>
      <family val="2"/>
    </font>
    <font>
      <b/>
      <sz val="22"/>
      <color rgb="FF16A34A"/>
      <name val="Segoe UI"/>
      <family val="2"/>
    </font>
    <font>
      <sz val="9"/>
      <color rgb="FF64748B"/>
      <name val="Segoe UI"/>
      <family val="2"/>
    </font>
    <font>
      <b/>
      <sz val="22"/>
      <color rgb="FF1273B8"/>
      <name val="Segoe UI"/>
      <family val="2"/>
    </font>
    <font>
      <b/>
      <sz val="11"/>
      <color rgb="FFFFFFFF"/>
      <name val="Segoe UI"/>
      <family val="2"/>
    </font>
    <font>
      <b/>
      <sz val="12"/>
      <color rgb="FF0B2E4F"/>
      <name val="Segoe UI"/>
      <family val="2"/>
    </font>
    <font>
      <i/>
      <sz val="8"/>
      <color rgb="FF64748B"/>
      <name val="Segoe UI"/>
      <family val="2"/>
    </font>
    <font>
      <b/>
      <sz val="9"/>
      <color rgb="FFFFFFFF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rgb="FF0B2E4F"/>
      <name val="Segoe UI"/>
      <family val="2"/>
    </font>
    <font>
      <b/>
      <sz val="9"/>
      <color rgb="FF92400E"/>
      <name val="Segoe UI"/>
      <family val="2"/>
    </font>
    <font>
      <b/>
      <sz val="8"/>
      <color rgb="FF16A34A"/>
      <name val="Segoe UI"/>
      <family val="2"/>
    </font>
    <font>
      <b/>
      <sz val="8"/>
      <color rgb="FFDC2626"/>
      <name val="Segoe UI"/>
      <family val="2"/>
    </font>
    <font>
      <b/>
      <sz val="8"/>
      <color rgb="FFF59E0B"/>
      <name val="Segoe UI"/>
      <family val="2"/>
    </font>
    <font>
      <b/>
      <sz val="8"/>
      <color rgb="FF0E9F9F"/>
      <name val="Segoe UI"/>
      <family val="2"/>
    </font>
    <font>
      <b/>
      <sz val="8"/>
      <color rgb="FFFFFFFF"/>
      <name val="Segoe UI"/>
      <family val="2"/>
    </font>
    <font>
      <b/>
      <sz val="8"/>
      <color rgb="FF0F172A"/>
      <name val="Segoe UI"/>
      <family val="2"/>
    </font>
    <font>
      <b/>
      <sz val="11"/>
      <color theme="1"/>
      <name val="Segoe UI"/>
      <family val="2"/>
    </font>
    <font>
      <sz val="10"/>
      <color theme="1"/>
      <name val="Segoe UI"/>
      <family val="2"/>
    </font>
    <font>
      <b/>
      <sz val="10"/>
      <color rgb="FF92400E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0B2E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123E68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273B8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0E9F9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EA731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6A34A"/>
        <bgColor indexed="64"/>
      </patternFill>
    </fill>
  </fills>
  <borders count="1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24A5D9"/>
      </bottom>
      <diagonal/>
    </border>
    <border>
      <left style="thin">
        <color rgb="FF0B2E4F"/>
      </left>
      <right style="thin">
        <color rgb="FF0B2E4F"/>
      </right>
      <top style="thin">
        <color rgb="FF0B2E4F"/>
      </top>
      <bottom style="thin">
        <color rgb="FF0B2E4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273B8"/>
      </left>
      <right style="thin">
        <color rgb="FF1273B8"/>
      </right>
      <top style="thin">
        <color rgb="FF1273B8"/>
      </top>
      <bottom style="thin">
        <color rgb="FF1273B8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 style="thin">
        <color rgb="FF0E9F9F"/>
      </left>
      <right style="thin">
        <color rgb="FF0E9F9F"/>
      </right>
      <top style="thin">
        <color rgb="FF0E9F9F"/>
      </top>
      <bottom style="thin">
        <color rgb="FF0E9F9F"/>
      </bottom>
      <diagonal/>
    </border>
    <border>
      <left style="thin">
        <color rgb="FFDCFCE7"/>
      </left>
      <right style="thin">
        <color rgb="FFDCFCE7"/>
      </right>
      <top style="thin">
        <color rgb="FFDCFCE7"/>
      </top>
      <bottom style="thin">
        <color rgb="FFDCFCE7"/>
      </bottom>
      <diagonal/>
    </border>
    <border>
      <left style="thin">
        <color rgb="FFFEE2E2"/>
      </left>
      <right style="thin">
        <color rgb="FFFEE2E2"/>
      </right>
      <top style="thin">
        <color rgb="FFFEE2E2"/>
      </top>
      <bottom style="thin">
        <color rgb="FFFEE2E2"/>
      </bottom>
      <diagonal/>
    </border>
    <border>
      <left style="thin">
        <color rgb="FFFEF3C7"/>
      </left>
      <right style="thin">
        <color rgb="FFFEF3C7"/>
      </right>
      <top style="thin">
        <color rgb="FFFEF3C7"/>
      </top>
      <bottom style="thin">
        <color rgb="FFFEF3C7"/>
      </bottom>
      <diagonal/>
    </border>
    <border>
      <left style="thin">
        <color rgb="FFCCFBF1"/>
      </left>
      <right style="thin">
        <color rgb="FFCCFBF1"/>
      </right>
      <top style="thin">
        <color rgb="FFCCFBF1"/>
      </top>
      <bottom style="thin">
        <color rgb="FFCCFBF1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EA7317"/>
      </left>
      <right style="thin">
        <color rgb="FFEA7317"/>
      </right>
      <top style="thin">
        <color rgb="FFEA7317"/>
      </top>
      <bottom style="thin">
        <color rgb="FFEA731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7" fillId="3" borderId="2" xfId="0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2" fillId="0" borderId="0" xfId="0" applyFont="1" applyAlignment="1">
      <alignment vertical="top" wrapText="1"/>
    </xf>
    <xf numFmtId="0" fontId="13" fillId="5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indent="1"/>
    </xf>
    <xf numFmtId="0" fontId="15" fillId="0" borderId="6" xfId="0" applyFont="1" applyBorder="1" applyAlignment="1">
      <alignment horizontal="center" vertical="center"/>
    </xf>
    <xf numFmtId="164" fontId="15" fillId="0" borderId="6" xfId="0" applyNumberFormat="1" applyFont="1" applyBorder="1" applyAlignment="1">
      <alignment horizontal="right" vertical="center"/>
    </xf>
    <xf numFmtId="165" fontId="15" fillId="0" borderId="6" xfId="0" applyNumberFormat="1" applyFont="1" applyBorder="1" applyAlignment="1">
      <alignment horizontal="right" vertical="center"/>
    </xf>
    <xf numFmtId="166" fontId="15" fillId="0" borderId="6" xfId="0" applyNumberFormat="1" applyFont="1" applyBorder="1" applyAlignment="1">
      <alignment horizontal="right" vertical="center"/>
    </xf>
    <xf numFmtId="167" fontId="15" fillId="0" borderId="6" xfId="0" applyNumberFormat="1" applyFont="1" applyBorder="1" applyAlignment="1">
      <alignment horizontal="right" vertical="center"/>
    </xf>
    <xf numFmtId="0" fontId="16" fillId="6" borderId="7" xfId="0" applyFont="1" applyFill="1" applyBorder="1" applyAlignment="1">
      <alignment horizontal="left" vertical="center" indent="1"/>
    </xf>
    <xf numFmtId="164" fontId="16" fillId="6" borderId="7" xfId="0" applyNumberFormat="1" applyFont="1" applyFill="1" applyBorder="1" applyAlignment="1">
      <alignment horizontal="right" vertical="center"/>
    </xf>
    <xf numFmtId="166" fontId="16" fillId="6" borderId="7" xfId="0" applyNumberFormat="1" applyFont="1" applyFill="1" applyBorder="1" applyAlignment="1">
      <alignment horizontal="right" vertical="center"/>
    </xf>
    <xf numFmtId="0" fontId="17" fillId="7" borderId="8" xfId="0" applyFont="1" applyFill="1" applyBorder="1" applyAlignment="1">
      <alignment horizontal="left" vertical="center" indent="1"/>
    </xf>
    <xf numFmtId="0" fontId="13" fillId="5" borderId="5" xfId="0" applyFont="1" applyFill="1" applyBorder="1" applyAlignment="1">
      <alignment horizontal="left" vertical="center" indent="1" wrapText="1"/>
    </xf>
    <xf numFmtId="0" fontId="13" fillId="8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indent="1"/>
    </xf>
    <xf numFmtId="165" fontId="15" fillId="9" borderId="8" xfId="0" applyNumberFormat="1" applyFont="1" applyFill="1" applyBorder="1" applyAlignment="1" applyProtection="1">
      <alignment horizontal="right" vertical="center"/>
      <protection locked="0"/>
    </xf>
    <xf numFmtId="0" fontId="13" fillId="10" borderId="9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9" fillId="12" borderId="11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1" fillId="13" borderId="13" xfId="0" applyFont="1" applyFill="1" applyBorder="1" applyAlignment="1">
      <alignment horizontal="center" vertical="center"/>
    </xf>
    <xf numFmtId="168" fontId="15" fillId="0" borderId="6" xfId="0" applyNumberFormat="1" applyFont="1" applyBorder="1" applyAlignment="1">
      <alignment horizontal="right" vertical="center"/>
    </xf>
    <xf numFmtId="169" fontId="15" fillId="0" borderId="6" xfId="0" applyNumberFormat="1" applyFont="1" applyBorder="1" applyAlignment="1">
      <alignment horizontal="right" vertical="center"/>
    </xf>
    <xf numFmtId="0" fontId="15" fillId="0" borderId="6" xfId="0" applyFont="1" applyBorder="1" applyAlignment="1">
      <alignment horizontal="left" vertical="center" indent="1" wrapText="1"/>
    </xf>
    <xf numFmtId="0" fontId="22" fillId="4" borderId="14" xfId="0" applyFont="1" applyFill="1" applyBorder="1" applyAlignment="1">
      <alignment horizontal="center" vertical="center" wrapText="1"/>
    </xf>
    <xf numFmtId="170" fontId="15" fillId="0" borderId="6" xfId="0" applyNumberFormat="1" applyFont="1" applyBorder="1" applyAlignment="1">
      <alignment horizontal="right" vertical="center"/>
    </xf>
    <xf numFmtId="0" fontId="22" fillId="14" borderId="15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3" fillId="15" borderId="6" xfId="0" applyFont="1" applyFill="1" applyBorder="1" applyAlignment="1">
      <alignment horizontal="center" vertical="center" wrapText="1"/>
    </xf>
    <xf numFmtId="165" fontId="24" fillId="9" borderId="8" xfId="0" applyNumberFormat="1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left" vertical="top" wrapText="1"/>
    </xf>
    <xf numFmtId="0" fontId="26" fillId="7" borderId="8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7">
    <dxf>
      <font>
        <b/>
        <color rgb="FFDC2626"/>
      </font>
      <numFmt numFmtId="165" formatCode="#,##0.00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16A34A"/>
      </font>
      <numFmt numFmtId="165" formatCode="#,##0.00"/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  <dxf>
      <font>
        <b/>
        <color rgb="FF16A34A"/>
      </font>
      <fill>
        <patternFill>
          <bgColor rgb="FFDCFCE7"/>
        </patternFill>
      </fill>
      <border>
        <left style="thin">
          <color rgb="FFDCFCE7"/>
        </left>
        <right style="thin">
          <color rgb="FFDCFCE7"/>
        </right>
        <top style="thin">
          <color rgb="FFDCFCE7"/>
        </top>
        <bottom style="thin">
          <color rgb="FFDCFCE7"/>
        </bottom>
        <vertical/>
        <horizontal/>
      </border>
    </dxf>
    <dxf>
      <font>
        <b/>
        <color rgb="FF0E9F9F"/>
      </font>
      <fill>
        <patternFill>
          <bgColor rgb="FFCCFBF1"/>
        </patternFill>
      </fill>
      <border>
        <left style="thin">
          <color rgb="FFCCFBF1"/>
        </left>
        <right style="thin">
          <color rgb="FFCCFBF1"/>
        </right>
        <top style="thin">
          <color rgb="FFCCFBF1"/>
        </top>
        <bottom style="thin">
          <color rgb="FFCCFBF1"/>
        </bottom>
        <vertical/>
        <horizontal/>
      </border>
    </dxf>
    <dxf>
      <font>
        <b/>
        <color rgb="FFF59E0B"/>
      </font>
      <fill>
        <patternFill>
          <bgColor rgb="FFFEF3C7"/>
        </patternFill>
      </fill>
      <border>
        <left style="thin">
          <color rgb="FFFEF3C7"/>
        </left>
        <right style="thin">
          <color rgb="FFFEF3C7"/>
        </right>
        <top style="thin">
          <color rgb="FFFEF3C7"/>
        </top>
        <bottom style="thin">
          <color rgb="FFFEF3C7"/>
        </bottom>
        <vertical/>
        <horizontal/>
      </border>
    </dxf>
    <dxf>
      <font>
        <b/>
        <color rgb="FFDC2626"/>
      </font>
      <fill>
        <patternFill>
          <bgColor rgb="FFFEE2E2"/>
        </patternFill>
      </fill>
      <border>
        <left style="thin">
          <color rgb="FFFEE2E2"/>
        </left>
        <right style="thin">
          <color rgb="FFFEE2E2"/>
        </right>
        <top style="thin">
          <color rgb="FFFEE2E2"/>
        </top>
        <bottom style="thin">
          <color rgb="FFFEE2E2"/>
        </bottom>
        <vertical/>
        <horizontal/>
      </border>
    </dxf>
    <dxf>
      <font>
        <b/>
        <color rgb="FFDC2626"/>
      </font>
      <numFmt numFmtId="165" formatCode="#,##0.00"/>
      <fill>
        <patternFill>
          <bgColor rgb="FFFEE2E2"/>
        </patternFill>
      </fill>
      <border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'NERACA ENERGI'!$D$6</c:f>
              <c:strCache>
                <c:ptCount val="1"/>
                <c:pt idx="0">
                  <c:v>Susut (%)</c:v>
                </c:pt>
              </c:strCache>
            </c:strRef>
          </c:tx>
          <c:spPr>
            <a:ln w="28575">
              <a:solidFill>
                <a:srgbClr val="2A78D6"/>
              </a:solidFill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noFill/>
              </a:ln>
            </c:spPr>
          </c:marker>
          <c:cat>
            <c:strRef>
              <c:f>'NERACA ENERGI'!$B$7:$B$18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'NERACA ENERGI'!$D$7:$D$18</c:f>
              <c:numCache>
                <c:formatCode>General</c:formatCode>
                <c:ptCount val="12"/>
                <c:pt idx="0">
                  <c:v>7.27</c:v>
                </c:pt>
                <c:pt idx="1">
                  <c:v>7.05</c:v>
                </c:pt>
                <c:pt idx="2">
                  <c:v>6.9</c:v>
                </c:pt>
                <c:pt idx="3">
                  <c:v>6.65</c:v>
                </c:pt>
                <c:pt idx="4">
                  <c:v>6.39</c:v>
                </c:pt>
                <c:pt idx="5">
                  <c:v>6.14</c:v>
                </c:pt>
                <c:pt idx="6">
                  <c:v>6.06</c:v>
                </c:pt>
                <c:pt idx="7">
                  <c:v>6.03</c:v>
                </c:pt>
                <c:pt idx="8">
                  <c:v>5.92</c:v>
                </c:pt>
                <c:pt idx="9">
                  <c:v>5.9</c:v>
                </c:pt>
                <c:pt idx="10">
                  <c:v>5.87</c:v>
                </c:pt>
                <c:pt idx="11">
                  <c:v>5.85</c:v>
                </c:pt>
              </c:numCache>
            </c:numRef>
          </c:val>
        </c:ser>
        <c:ser>
          <c:idx val="1"/>
          <c:order val="1"/>
          <c:tx>
            <c:strRef>
              <c:f>'NERACA ENERGI'!$E$6</c:f>
              <c:strCache>
                <c:ptCount val="1"/>
                <c:pt idx="0">
                  <c:v>Target (%)</c:v>
                </c:pt>
              </c:strCache>
            </c:strRef>
          </c:tx>
          <c:spPr>
            <a:ln w="19050">
              <a:solidFill>
                <a:srgbClr val="898781"/>
              </a:solidFill>
              <a:prstDash val="dash"/>
            </a:ln>
          </c:spPr>
          <c:marker>
            <c:symbol val="none"/>
          </c:marker>
          <c:cat>
            <c:strRef>
              <c:f>'NERACA ENERGI'!$B$7:$B$18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'NERACA ENERGI'!$E$7:$E$18</c:f>
              <c:numCache>
                <c:formatCode>General</c:formatCode>
                <c:ptCount val="12"/>
                <c:pt idx="0">
                  <c:v>6.9</c:v>
                </c:pt>
                <c:pt idx="1">
                  <c:v>6.75</c:v>
                </c:pt>
                <c:pt idx="2">
                  <c:v>6.6</c:v>
                </c:pt>
                <c:pt idx="3">
                  <c:v>6.45</c:v>
                </c:pt>
                <c:pt idx="4">
                  <c:v>6.3</c:v>
                </c:pt>
                <c:pt idx="5">
                  <c:v>6.15</c:v>
                </c:pt>
                <c:pt idx="6">
                  <c:v>6.05</c:v>
                </c:pt>
                <c:pt idx="7">
                  <c:v>5.95</c:v>
                </c:pt>
                <c:pt idx="8">
                  <c:v>5.92</c:v>
                </c:pt>
                <c:pt idx="9">
                  <c:v>5.9</c:v>
                </c:pt>
                <c:pt idx="10">
                  <c:v>5.87</c:v>
                </c:pt>
                <c:pt idx="11">
                  <c:v>5.85</c:v>
                </c:pt>
              </c:numCache>
            </c:numRef>
          </c:val>
        </c:ser>
        <c:ser>
          <c:idx val="2"/>
          <c:order val="2"/>
          <c:tx>
            <c:v>Susut kumulatif (YTD)</c:v>
          </c:tx>
          <c:spPr>
            <a:ln w="28575">
              <a:solidFill>
                <a:srgbClr val="EB6834"/>
              </a:solidFill>
            </a:ln>
          </c:spPr>
          <c:marker>
            <c:symbol val="none"/>
          </c:marker>
          <c:cat>
            <c:strRef>
              <c:f>'NERACA ENERGI'!$B$7:$B$18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'NERACA ENERGI'!$F$7:$F$18</c:f>
              <c:numCache>
                <c:formatCode>General</c:formatCode>
                <c:ptCount val="12"/>
                <c:pt idx="0">
                  <c:v>7.27</c:v>
                </c:pt>
                <c:pt idx="1">
                  <c:v>7.1626</c:v>
                </c:pt>
                <c:pt idx="2">
                  <c:v>7.0729</c:v>
                </c:pt>
                <c:pt idx="3">
                  <c:v>6.9635</c:v>
                </c:pt>
                <c:pt idx="4">
                  <c:v>6.8427</c:v>
                </c:pt>
                <c:pt idx="5">
                  <c:v>6.722</c:v>
                </c:pt>
                <c:pt idx="6">
                  <c:v>6.6227</c:v>
                </c:pt>
                <c:pt idx="7">
                  <c:v>6.5446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E2E8F0"/>
            </a:solidFill>
          </a:ln>
        </c:spPr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.8"/>
          <c:min val="4.5"/>
        </c:scaling>
        <c:axPos val="l"/>
        <c:majorGridlines>
          <c:spPr>
            <a:ln>
              <a:solidFill>
                <a:srgbClr val="E1E0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Segoe UI"/>
                  </a:defRPr>
                </a:pPr>
                <a:r>
                  <a:rPr lang="en-US" sz="800" baseline="0">
                    <a:latin typeface="Segoe UI"/>
                  </a:rPr>
                  <a:t>Susut (%)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percentStacked"/>
        <c:ser>
          <c:idx val="0"/>
          <c:order val="0"/>
          <c:tx>
            <c:v>Susut Teknis</c:v>
          </c:tx>
          <c:spPr>
            <a:solidFill>
              <a:srgbClr val="2A78D6"/>
            </a:solidFill>
          </c:spPr>
          <c:dLbls>
            <c:numFmt formatCode="0.00&quot;%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numRef>
              <c:f>'ANALISIS TEKNIS'!$A$41:$A$41</c:f>
              <c:numCache>
                <c:formatCode>General</c:formatCode>
                <c:ptCount val="1"/>
              </c:numCache>
            </c:numRef>
          </c:cat>
          <c:val>
            <c:numRef>
              <c:f>'ANALISIS TEKNIS'!$C$41:$C$41</c:f>
              <c:numCache>
                <c:formatCode>General</c:formatCode>
                <c:ptCount val="1"/>
                <c:pt idx="0">
                  <c:v>3.5095</c:v>
                </c:pt>
              </c:numCache>
            </c:numRef>
          </c:val>
        </c:ser>
        <c:ser>
          <c:idx val="1"/>
          <c:order val="1"/>
          <c:tx>
            <c:v>Susut Non-Teknis</c:v>
          </c:tx>
          <c:spPr>
            <a:solidFill>
              <a:srgbClr val="EB6834"/>
            </a:solidFill>
          </c:spPr>
          <c:dLbls>
            <c:numFmt formatCode="0.00&quot;%&quot;" sourceLinked="0"/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numRef>
              <c:f>'ANALISIS TEKNIS'!$A$41:$A$41</c:f>
              <c:numCache>
                <c:formatCode>General</c:formatCode>
                <c:ptCount val="1"/>
              </c:numCache>
            </c:numRef>
          </c:cat>
          <c:val>
            <c:numRef>
              <c:f>'ANALISIS TEKNIS'!$C$42:$C$42</c:f>
              <c:numCache>
                <c:formatCode>General</c:formatCode>
                <c:ptCount val="1"/>
                <c:pt idx="0">
                  <c:v>2.5205</c:v>
                </c:pt>
              </c:numCache>
            </c:numRef>
          </c:val>
        </c:ser>
        <c:gapWidth val="60"/>
        <c:overlap val="100"/>
        <c:axId val="50020001"/>
        <c:axId val="50020002"/>
      </c:barChart>
      <c:catAx>
        <c:axId val="50020001"/>
        <c:scaling>
          <c:orientation val="minMax"/>
        </c:scaling>
        <c:delete val="1"/>
        <c:axPos val="l"/>
        <c:numFmt formatCode="General" sourceLinked="1"/>
        <c:tickLblPos val="nextTo"/>
        <c:crossAx val="50020002"/>
        <c:auto val="1"/>
        <c:lblAlgn val="ctr"/>
        <c:lblOffset val="100"/>
      </c:catAx>
      <c:valAx>
        <c:axId val="50020002"/>
        <c:scaling>
          <c:orientation val="minMax"/>
        </c:scaling>
        <c:delete val="1"/>
        <c:axPos val="b"/>
        <c:majorGridlines/>
        <c:numFmt formatCode="0%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Segoe U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Sisa potensi kWh</c:v>
          </c:tx>
          <c:spPr>
            <a:solidFill>
              <a:srgbClr val="2A78D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'DATA GRAFIK'!$B$4:$B$13</c:f>
              <c:strCache>
                <c:ptCount val="10"/>
                <c:pt idx="0">
                  <c:v>N-02  P2TL - perolehan kWh temuan pelang</c:v>
                </c:pt>
                <c:pt idx="1">
                  <c:v>N-09  Penertiban &amp; pemeteran PJU ilegal</c:v>
                </c:pt>
                <c:pt idx="2">
                  <c:v>N-06  Pemasangan / normalisasi AMR pelan</c:v>
                </c:pt>
                <c:pt idx="3">
                  <c:v>N-04  Penggantian kWh meter rusak / mace</c:v>
                </c:pt>
                <c:pt idx="4">
                  <c:v>N-12  Penormalan sambungan langsung / sa</c:v>
                </c:pt>
                <c:pt idx="5">
                  <c:v>T-03  Pemasangan trafo sisip / uprating </c:v>
                </c:pt>
                <c:pt idx="6">
                  <c:v>T-02  Penggantian konduktor JTR usang ke</c:v>
                </c:pt>
                <c:pt idx="7">
                  <c:v>T-05  Rekonfigurasi / pemecahan beban pe</c:v>
                </c:pt>
                <c:pt idx="8">
                  <c:v>N-05  Penggantian kWh meter tua (&gt; 15 ta</c:v>
                </c:pt>
                <c:pt idx="9">
                  <c:v>N-08  Penurunan DLPD (Daftar Langganan P</c:v>
                </c:pt>
              </c:strCache>
            </c:strRef>
          </c:cat>
          <c:val>
            <c:numRef>
              <c:f>'DATA GRAFIK'!$C$4:$C$13</c:f>
              <c:numCache>
                <c:formatCode>General</c:formatCode>
                <c:ptCount val="10"/>
                <c:pt idx="0">
                  <c:v>475333</c:v>
                </c:pt>
                <c:pt idx="1">
                  <c:v>143981</c:v>
                </c:pt>
                <c:pt idx="2">
                  <c:v>117690</c:v>
                </c:pt>
                <c:pt idx="3">
                  <c:v>112640</c:v>
                </c:pt>
                <c:pt idx="4">
                  <c:v>110894</c:v>
                </c:pt>
                <c:pt idx="5">
                  <c:v>94875</c:v>
                </c:pt>
                <c:pt idx="6">
                  <c:v>93558</c:v>
                </c:pt>
                <c:pt idx="7">
                  <c:v>90510</c:v>
                </c:pt>
                <c:pt idx="8">
                  <c:v>89008</c:v>
                </c:pt>
                <c:pt idx="9">
                  <c:v>85008</c:v>
                </c:pt>
              </c:numCache>
            </c:numRef>
          </c:val>
        </c:ser>
        <c:gapWidth val="45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t"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kWh rugi per bulan</c:v>
          </c:tx>
          <c:spPr>
            <a:solidFill>
              <a:srgbClr val="2A78D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'DATA GRAFIK'!$F$4:$F$8</c:f>
              <c:strCache>
                <c:ptCount val="5"/>
                <c:pt idx="0">
                  <c:v>JTR</c:v>
                </c:pt>
                <c:pt idx="1">
                  <c:v>Trafo distribusi</c:v>
                </c:pt>
                <c:pt idx="2">
                  <c:v>Sambungan Rumah &amp; APP</c:v>
                </c:pt>
                <c:pt idx="3">
                  <c:v>JTM</c:v>
                </c:pt>
                <c:pt idx="4">
                  <c:v>Konektor</c:v>
                </c:pt>
              </c:strCache>
            </c:strRef>
          </c:cat>
          <c:val>
            <c:numRef>
              <c:f>'DATA GRAFIK'!$G$4:$G$8</c:f>
              <c:numCache>
                <c:formatCode>General</c:formatCode>
                <c:ptCount val="5"/>
                <c:pt idx="0">
                  <c:v>255517</c:v>
                </c:pt>
                <c:pt idx="1">
                  <c:v>218556</c:v>
                </c:pt>
                <c:pt idx="2">
                  <c:v>175011</c:v>
                </c:pt>
                <c:pt idx="3">
                  <c:v>116471</c:v>
                </c:pt>
                <c:pt idx="4">
                  <c:v>33276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delete val="1"/>
        <c:axPos val="t"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Susut (%)</c:v>
          </c:tx>
          <c:spPr>
            <a:solidFill>
              <a:srgbClr val="EB6834"/>
            </a:solidFill>
          </c:spPr>
          <c:dLbls>
            <c:numFmt formatCode="0.00&quot;%&quot;" sourceLinked="0"/>
            <c:txPr>
              <a:bodyPr/>
              <a:lstStyle/>
              <a:p>
                <a:pPr>
                  <a:defRPr sz="800" baseline="0"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'DATA GRAFIK'!$J$4:$J$13</c:f>
              <c:strCache>
                <c:ptCount val="10"/>
                <c:pt idx="0">
                  <c:v>SBJ-01 Kuala Samboja</c:v>
                </c:pt>
                <c:pt idx="1">
                  <c:v>SBJ-02 Sungai Merdeka</c:v>
                </c:pt>
                <c:pt idx="2">
                  <c:v>SBJ-03 Handil Baru</c:v>
                </c:pt>
                <c:pt idx="3">
                  <c:v>SBJ-04 Argosari</c:v>
                </c:pt>
                <c:pt idx="4">
                  <c:v>SBJ-05 Bukit Raya</c:v>
                </c:pt>
                <c:pt idx="5">
                  <c:v>SBJ-06 Karya Merdeka</c:v>
                </c:pt>
                <c:pt idx="6">
                  <c:v>SBJ-07 Amborawang</c:v>
                </c:pt>
                <c:pt idx="7">
                  <c:v>SBJ-08 Tani Bhakti</c:v>
                </c:pt>
                <c:pt idx="8">
                  <c:v>SBJ-09 Beringin Agung</c:v>
                </c:pt>
                <c:pt idx="9">
                  <c:v>SBJ-10 Sungai Seluang</c:v>
                </c:pt>
              </c:strCache>
            </c:strRef>
          </c:cat>
          <c:val>
            <c:numRef>
              <c:f>'DATA GRAFIK'!$K$4:$K$13</c:f>
              <c:numCache>
                <c:formatCode>General</c:formatCode>
                <c:ptCount val="10"/>
                <c:pt idx="0">
                  <c:v>7.94</c:v>
                </c:pt>
                <c:pt idx="1">
                  <c:v>7.41</c:v>
                </c:pt>
                <c:pt idx="2">
                  <c:v>6.88</c:v>
                </c:pt>
                <c:pt idx="3">
                  <c:v>6.42</c:v>
                </c:pt>
                <c:pt idx="4">
                  <c:v>5.97</c:v>
                </c:pt>
                <c:pt idx="5">
                  <c:v>5.63</c:v>
                </c:pt>
                <c:pt idx="6">
                  <c:v>5.35</c:v>
                </c:pt>
                <c:pt idx="7">
                  <c:v>5.11</c:v>
                </c:pt>
                <c:pt idx="8">
                  <c:v>4.86</c:v>
                </c:pt>
                <c:pt idx="9">
                  <c:v>4.52</c:v>
                </c:pt>
              </c:numCache>
            </c:numRef>
          </c:val>
        </c:ser>
        <c:gapWidth val="45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delete val="1"/>
        <c:axPos val="t"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Capaian (%)</c:v>
          </c:tx>
          <c:spPr>
            <a:solidFill>
              <a:srgbClr val="2A78D6"/>
            </a:solidFill>
          </c:spPr>
          <c:dLbls>
            <c:numFmt formatCode="0.0&quot;%&quot;" sourceLinked="0"/>
            <c:txPr>
              <a:bodyPr/>
              <a:lstStyle/>
              <a:p>
                <a:pPr>
                  <a:defRPr sz="900" b="1" baseline="0">
                    <a:latin typeface="Segoe UI"/>
                  </a:defRPr>
                </a:pPr>
                <a:endParaRPr lang="en-US"/>
              </a:p>
            </c:txPr>
            <c:showVal val="1"/>
          </c:dLbls>
          <c:cat>
            <c:strRef>
              <c:f>'DATA GRAFIK'!$N$4:$N$5</c:f>
              <c:strCache>
                <c:ptCount val="2"/>
                <c:pt idx="0">
                  <c:v>Teknis</c:v>
                </c:pt>
                <c:pt idx="1">
                  <c:v>Non-Teknis</c:v>
                </c:pt>
              </c:strCache>
            </c:strRef>
          </c:cat>
          <c:val>
            <c:numRef>
              <c:f>'DATA GRAFIK'!$O$4:$O$5</c:f>
              <c:numCache>
                <c:formatCode>General</c:formatCode>
                <c:ptCount val="2"/>
                <c:pt idx="0">
                  <c:v>71.2</c:v>
                </c:pt>
                <c:pt idx="1">
                  <c:v>78.25</c:v>
                </c:pt>
              </c:numCache>
            </c:numRef>
          </c:val>
        </c:ser>
        <c:gapWidth val="9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>
                <a:latin typeface="Segoe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10"/>
        </c:scaling>
        <c:axPos val="l"/>
        <c:majorGridlines>
          <c:spPr>
            <a:ln>
              <a:solidFill>
                <a:srgbClr val="E1E0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kWh Temuan P2TL per Bulan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kWh temuan</c:v>
          </c:tx>
          <c:spPr>
            <a:solidFill>
              <a:srgbClr val="2A78D6"/>
            </a:solidFill>
          </c:spPr>
          <c:cat>
            <c:strRef>
              <c:f>P2TL!$B$7:$B$14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</c:strCache>
            </c:strRef>
          </c:cat>
          <c:val>
            <c:numRef>
              <c:f>P2TL!$F$7:$F$14</c:f>
              <c:numCache>
                <c:formatCode>General</c:formatCode>
                <c:ptCount val="8"/>
                <c:pt idx="0">
                  <c:v>76379</c:v>
                </c:pt>
                <c:pt idx="1">
                  <c:v>94232</c:v>
                </c:pt>
                <c:pt idx="2">
                  <c:v>83457</c:v>
                </c:pt>
                <c:pt idx="3">
                  <c:v>78046</c:v>
                </c:pt>
                <c:pt idx="4">
                  <c:v>80713</c:v>
                </c:pt>
                <c:pt idx="5">
                  <c:v>87633</c:v>
                </c:pt>
                <c:pt idx="6">
                  <c:v>83426</c:v>
                </c:pt>
                <c:pt idx="7">
                  <c:v>90781</c:v>
                </c:pt>
              </c:numCache>
            </c:numRef>
          </c:val>
        </c:ser>
        <c:gapWidth val="45"/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1E0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7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Efektivitas Penagihan Tagihan Susulan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Efektivitas tagih (%)</c:v>
          </c:tx>
          <c:spPr>
            <a:ln w="28575">
              <a:solidFill>
                <a:srgbClr val="EB6834"/>
              </a:solidFill>
            </a:ln>
          </c:spPr>
          <c:marker>
            <c:symbol val="circle"/>
            <c:size val="7"/>
            <c:spPr>
              <a:solidFill>
                <a:srgbClr val="EB6834"/>
              </a:solidFill>
              <a:ln>
                <a:noFill/>
              </a:ln>
            </c:spPr>
          </c:marker>
          <c:cat>
            <c:strRef>
              <c:f>P2TL!$B$7:$B$14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Ags</c:v>
                </c:pt>
              </c:strCache>
            </c:strRef>
          </c:cat>
          <c:val>
            <c:numRef>
              <c:f>P2TL!$I$7:$I$14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E1E0D9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latin typeface="Segoe UI"/>
              </a:defRPr>
            </a:pPr>
            <a:endParaRPr lang="en-US"/>
          </a:p>
        </c:txPr>
        <c:crossAx val="50080001"/>
        <c:crosses val="autoZero"/>
        <c:crossBetween val="between"/>
      </c:valAx>
    </c:plotArea>
    <c:plotVisOnly val="1"/>
  </c:chart>
  <c:spPr>
    <a:solidFill>
      <a:srgbClr val="FFFFFF"/>
    </a:solidFill>
    <a:ln>
      <a:solidFill>
        <a:srgbClr val="E2E8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10</xdr:col>
      <xdr:colOff>180975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16</xdr:col>
      <xdr:colOff>238125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10</xdr:col>
      <xdr:colOff>180975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16</xdr:col>
      <xdr:colOff>238125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10</xdr:col>
      <xdr:colOff>180975</xdr:colOff>
      <xdr:row>68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16</xdr:col>
      <xdr:colOff>238125</xdr:colOff>
      <xdr:row>68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3</xdr:col>
      <xdr:colOff>914400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209550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2E4F"/>
    <pageSetUpPr fitToPage="1"/>
  </sheetPr>
  <dimension ref="A1:U73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.7109375" customWidth="1"/>
    <col min="2" max="21" width="9.85546875" customWidth="1"/>
  </cols>
  <sheetData>
    <row r="1" spans="1:21" ht="8" customHeight="1"/>
    <row r="2" spans="1:21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2</v>
      </c>
      <c r="S2" s="2"/>
      <c r="T2" s="2"/>
      <c r="U2" s="2"/>
    </row>
    <row r="3" spans="1:21" ht="18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2"/>
      <c r="T3" s="2"/>
      <c r="U3" s="2"/>
    </row>
    <row r="4" spans="1:21" ht="8" customHeight="1"/>
    <row r="6" spans="1:21" ht="16" customHeight="1">
      <c r="B6" s="4" t="s">
        <v>3</v>
      </c>
      <c r="C6" s="4"/>
      <c r="D6" s="4"/>
      <c r="E6" s="4"/>
      <c r="F6" s="4"/>
      <c r="G6" s="4" t="s">
        <v>6</v>
      </c>
      <c r="H6" s="4"/>
      <c r="I6" s="4"/>
      <c r="J6" s="4"/>
      <c r="K6" s="4"/>
      <c r="L6" s="4" t="s">
        <v>9</v>
      </c>
      <c r="M6" s="4"/>
      <c r="N6" s="4"/>
      <c r="O6" s="4"/>
      <c r="P6" s="4"/>
      <c r="Q6" s="4" t="s">
        <v>12</v>
      </c>
      <c r="R6" s="4"/>
      <c r="S6" s="4"/>
      <c r="T6" s="4"/>
      <c r="U6" s="4"/>
    </row>
    <row r="7" spans="1:21" ht="30" customHeight="1">
      <c r="B7" s="5" t="s">
        <v>4</v>
      </c>
      <c r="C7" s="5"/>
      <c r="D7" s="5"/>
      <c r="E7" s="5"/>
      <c r="F7" s="5"/>
      <c r="G7" s="6" t="s">
        <v>7</v>
      </c>
      <c r="H7" s="6"/>
      <c r="I7" s="6"/>
      <c r="J7" s="6"/>
      <c r="K7" s="6"/>
      <c r="L7" s="7" t="s">
        <v>10</v>
      </c>
      <c r="M7" s="7"/>
      <c r="N7" s="7"/>
      <c r="O7" s="7"/>
      <c r="P7" s="7"/>
      <c r="Q7" s="5" t="s">
        <v>13</v>
      </c>
      <c r="R7" s="5"/>
      <c r="S7" s="5"/>
      <c r="T7" s="5"/>
      <c r="U7" s="5"/>
    </row>
    <row r="8" spans="1:21" ht="26" customHeight="1">
      <c r="B8" s="8" t="s">
        <v>5</v>
      </c>
      <c r="C8" s="8"/>
      <c r="D8" s="8"/>
      <c r="E8" s="8"/>
      <c r="F8" s="8"/>
      <c r="G8" s="8" t="s">
        <v>8</v>
      </c>
      <c r="H8" s="8"/>
      <c r="I8" s="8"/>
      <c r="J8" s="8"/>
      <c r="K8" s="8"/>
      <c r="L8" s="8" t="s">
        <v>11</v>
      </c>
      <c r="M8" s="8"/>
      <c r="N8" s="8"/>
      <c r="O8" s="8"/>
      <c r="P8" s="8"/>
      <c r="Q8" s="8" t="s">
        <v>14</v>
      </c>
      <c r="R8" s="8"/>
      <c r="S8" s="8"/>
      <c r="T8" s="8"/>
      <c r="U8" s="8"/>
    </row>
    <row r="11" spans="1:21" ht="16" customHeight="1">
      <c r="B11" s="4" t="s">
        <v>15</v>
      </c>
      <c r="C11" s="4"/>
      <c r="D11" s="4"/>
      <c r="E11" s="4"/>
      <c r="F11" s="4"/>
      <c r="G11" s="4" t="s">
        <v>18</v>
      </c>
      <c r="H11" s="4"/>
      <c r="I11" s="4"/>
      <c r="J11" s="4"/>
      <c r="K11" s="4"/>
      <c r="L11" s="4" t="s">
        <v>21</v>
      </c>
      <c r="M11" s="4"/>
      <c r="N11" s="4"/>
      <c r="O11" s="4"/>
      <c r="P11" s="4"/>
      <c r="Q11" s="4" t="s">
        <v>24</v>
      </c>
      <c r="R11" s="4"/>
      <c r="S11" s="4"/>
      <c r="T11" s="4"/>
      <c r="U11" s="4"/>
    </row>
    <row r="12" spans="1:21" ht="30" customHeight="1">
      <c r="B12" s="6" t="s">
        <v>16</v>
      </c>
      <c r="C12" s="6"/>
      <c r="D12" s="6"/>
      <c r="E12" s="6"/>
      <c r="F12" s="6"/>
      <c r="G12" s="9" t="s">
        <v>19</v>
      </c>
      <c r="H12" s="9"/>
      <c r="I12" s="9"/>
      <c r="J12" s="9"/>
      <c r="K12" s="9"/>
      <c r="L12" s="5" t="s">
        <v>22</v>
      </c>
      <c r="M12" s="5"/>
      <c r="N12" s="5"/>
      <c r="O12" s="5"/>
      <c r="P12" s="5"/>
      <c r="Q12" s="7" t="s">
        <v>25</v>
      </c>
      <c r="R12" s="7"/>
      <c r="S12" s="7"/>
      <c r="T12" s="7"/>
      <c r="U12" s="7"/>
    </row>
    <row r="13" spans="1:21" ht="26" customHeight="1">
      <c r="B13" s="8" t="s">
        <v>17</v>
      </c>
      <c r="C13" s="8"/>
      <c r="D13" s="8"/>
      <c r="E13" s="8"/>
      <c r="F13" s="8"/>
      <c r="G13" s="8" t="s">
        <v>20</v>
      </c>
      <c r="H13" s="8"/>
      <c r="I13" s="8"/>
      <c r="J13" s="8"/>
      <c r="K13" s="8"/>
      <c r="L13" s="8" t="s">
        <v>23</v>
      </c>
      <c r="M13" s="8"/>
      <c r="N13" s="8"/>
      <c r="O13" s="8"/>
      <c r="P13" s="8"/>
      <c r="Q13" s="8" t="s">
        <v>26</v>
      </c>
      <c r="R13" s="8"/>
      <c r="S13" s="8"/>
      <c r="T13" s="8"/>
      <c r="U13" s="8"/>
    </row>
    <row r="15" spans="1:21" ht="10" customHeight="1"/>
    <row r="16" spans="1:21" ht="26" customHeight="1">
      <c r="B16" s="10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8" spans="2:12">
      <c r="B18" s="11" t="s">
        <v>28</v>
      </c>
      <c r="L18" s="11" t="s">
        <v>29</v>
      </c>
    </row>
    <row r="36" spans="2:12">
      <c r="B36" s="11" t="s">
        <v>30</v>
      </c>
      <c r="L36" s="11" t="s">
        <v>31</v>
      </c>
    </row>
    <row r="54" spans="2:12">
      <c r="B54" s="11" t="s">
        <v>32</v>
      </c>
      <c r="L54" s="11" t="s">
        <v>33</v>
      </c>
    </row>
    <row r="72" spans="2:21">
      <c r="B72" s="12" t="s">
        <v>34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2:21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</sheetData>
  <mergeCells count="29">
    <mergeCell ref="A2:Q2"/>
    <mergeCell ref="A3:Q3"/>
    <mergeCell ref="R2:U3"/>
    <mergeCell ref="B6:F6"/>
    <mergeCell ref="B7:F7"/>
    <mergeCell ref="B8:F8"/>
    <mergeCell ref="G6:K6"/>
    <mergeCell ref="G7:K7"/>
    <mergeCell ref="G8:K8"/>
    <mergeCell ref="L6:P6"/>
    <mergeCell ref="L7:P7"/>
    <mergeCell ref="L8:P8"/>
    <mergeCell ref="Q6:U6"/>
    <mergeCell ref="Q7:U7"/>
    <mergeCell ref="Q8:U8"/>
    <mergeCell ref="B11:F11"/>
    <mergeCell ref="B12:F12"/>
    <mergeCell ref="B13:F13"/>
    <mergeCell ref="G11:K11"/>
    <mergeCell ref="G12:K12"/>
    <mergeCell ref="G13:K13"/>
    <mergeCell ref="L11:P11"/>
    <mergeCell ref="L12:P12"/>
    <mergeCell ref="L13:P13"/>
    <mergeCell ref="Q11:U11"/>
    <mergeCell ref="Q12:U12"/>
    <mergeCell ref="Q13:U13"/>
    <mergeCell ref="B16:U16"/>
    <mergeCell ref="B72:U73"/>
  </mergeCells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73B8"/>
  </sheetPr>
  <dimension ref="A1:N21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.7109375" customWidth="1"/>
    <col min="2" max="2" width="10.7109375" customWidth="1"/>
    <col min="3" max="3" width="12.7109375" customWidth="1"/>
    <col min="4" max="7" width="11.7109375" customWidth="1"/>
    <col min="8" max="13" width="13.7109375" customWidth="1"/>
  </cols>
  <sheetData>
    <row r="1" spans="1:14" ht="8" customHeight="1" x14ac:dyDescent="0.25"/>
    <row r="2" spans="1:14" ht="30" customHeight="1" x14ac:dyDescent="0.25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2" t="s">
        <v>2</v>
      </c>
      <c r="L2" s="2"/>
      <c r="M2" s="2"/>
      <c r="N2" s="2"/>
    </row>
    <row r="3" spans="1:14" ht="18" customHeight="1" x14ac:dyDescent="0.25">
      <c r="A3" s="3" t="s">
        <v>36</v>
      </c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</row>
    <row r="4" spans="1:14" ht="8" customHeight="1" x14ac:dyDescent="0.25"/>
    <row r="6" spans="1:14" ht="30" customHeight="1" x14ac:dyDescent="0.25">
      <c r="B6" s="13" t="s">
        <v>37</v>
      </c>
      <c r="C6" s="13" t="s">
        <v>38</v>
      </c>
      <c r="D6" s="13" t="s">
        <v>39</v>
      </c>
      <c r="E6" s="13" t="s">
        <v>40</v>
      </c>
      <c r="F6" s="13" t="s">
        <v>41</v>
      </c>
      <c r="G6" s="13" t="s">
        <v>42</v>
      </c>
      <c r="H6" s="13" t="s">
        <v>43</v>
      </c>
      <c r="I6" s="13" t="s">
        <v>44</v>
      </c>
      <c r="J6" s="13" t="s">
        <v>45</v>
      </c>
      <c r="K6" s="13" t="s">
        <v>46</v>
      </c>
      <c r="L6" s="13" t="s">
        <v>47</v>
      </c>
      <c r="M6" s="13" t="s">
        <v>48</v>
      </c>
    </row>
    <row r="7" spans="1:14" x14ac:dyDescent="0.25">
      <c r="B7" s="14" t="s">
        <v>49</v>
      </c>
      <c r="C7" s="15" t="s">
        <v>50</v>
      </c>
      <c r="D7" s="16">
        <v>7.27</v>
      </c>
      <c r="E7" s="16">
        <v>6.9</v>
      </c>
      <c r="F7" s="16">
        <v>7.27</v>
      </c>
      <c r="G7" s="17">
        <v>0.37</v>
      </c>
      <c r="H7" s="18">
        <v>19845320</v>
      </c>
      <c r="I7" s="18">
        <v>18402565</v>
      </c>
      <c r="J7" s="18">
        <v>1442755</v>
      </c>
      <c r="K7" s="16">
        <v>3.7222</v>
      </c>
      <c r="L7" s="16">
        <v>3.5478</v>
      </c>
      <c r="M7" s="19">
        <v>2110029188</v>
      </c>
    </row>
    <row r="8" spans="1:14" x14ac:dyDescent="0.25">
      <c r="B8" s="14" t="s">
        <v>51</v>
      </c>
      <c r="C8" s="15" t="s">
        <v>50</v>
      </c>
      <c r="D8" s="16">
        <v>7.05</v>
      </c>
      <c r="E8" s="16">
        <v>6.75</v>
      </c>
      <c r="F8" s="16">
        <v>7.1626</v>
      </c>
      <c r="G8" s="17">
        <v>0.3</v>
      </c>
      <c r="H8" s="18">
        <v>18932410</v>
      </c>
      <c r="I8" s="18">
        <v>17597675</v>
      </c>
      <c r="J8" s="18">
        <v>1334735</v>
      </c>
      <c r="K8" s="16">
        <v>3.666</v>
      </c>
      <c r="L8" s="16">
        <v>3.384</v>
      </c>
      <c r="M8" s="19">
        <v>1952049938</v>
      </c>
    </row>
    <row r="9" spans="1:14" x14ac:dyDescent="0.25">
      <c r="B9" s="14" t="s">
        <v>52</v>
      </c>
      <c r="C9" s="15" t="s">
        <v>50</v>
      </c>
      <c r="D9" s="16">
        <v>6.9</v>
      </c>
      <c r="E9" s="16">
        <v>6.6</v>
      </c>
      <c r="F9" s="16">
        <v>7.0729</v>
      </c>
      <c r="G9" s="17">
        <v>0.3</v>
      </c>
      <c r="H9" s="18">
        <v>20114780</v>
      </c>
      <c r="I9" s="18">
        <v>18726860</v>
      </c>
      <c r="J9" s="18">
        <v>1387920</v>
      </c>
      <c r="K9" s="16">
        <v>3.657</v>
      </c>
      <c r="L9" s="16">
        <v>3.243</v>
      </c>
      <c r="M9" s="19">
        <v>2029833000</v>
      </c>
    </row>
    <row r="10" spans="1:14" x14ac:dyDescent="0.25">
      <c r="B10" s="14" t="s">
        <v>53</v>
      </c>
      <c r="C10" s="15" t="s">
        <v>50</v>
      </c>
      <c r="D10" s="16">
        <v>6.65</v>
      </c>
      <c r="E10" s="16">
        <v>6.45</v>
      </c>
      <c r="F10" s="16">
        <v>6.9635</v>
      </c>
      <c r="G10" s="17">
        <v>0.2</v>
      </c>
      <c r="H10" s="18">
        <v>20556905</v>
      </c>
      <c r="I10" s="18">
        <v>19189871</v>
      </c>
      <c r="J10" s="18">
        <v>1367034</v>
      </c>
      <c r="K10" s="16">
        <v>3.6243</v>
      </c>
      <c r="L10" s="16">
        <v>3.0257</v>
      </c>
      <c r="M10" s="19">
        <v>1999287225</v>
      </c>
    </row>
    <row r="11" spans="1:14" x14ac:dyDescent="0.25">
      <c r="B11" s="14" t="s">
        <v>54</v>
      </c>
      <c r="C11" s="15" t="s">
        <v>50</v>
      </c>
      <c r="D11" s="16">
        <v>6.39</v>
      </c>
      <c r="E11" s="16">
        <v>6.3</v>
      </c>
      <c r="F11" s="16">
        <v>6.8427</v>
      </c>
      <c r="G11" s="17">
        <v>0.09</v>
      </c>
      <c r="H11" s="18">
        <v>21203640</v>
      </c>
      <c r="I11" s="18">
        <v>19848727</v>
      </c>
      <c r="J11" s="18">
        <v>1354913</v>
      </c>
      <c r="K11" s="16">
        <v>3.5528</v>
      </c>
      <c r="L11" s="16">
        <v>2.8372</v>
      </c>
      <c r="M11" s="19">
        <v>1981560262</v>
      </c>
    </row>
    <row r="12" spans="1:14" x14ac:dyDescent="0.25">
      <c r="B12" s="14" t="s">
        <v>55</v>
      </c>
      <c r="C12" s="15" t="s">
        <v>50</v>
      </c>
      <c r="D12" s="16">
        <v>6.14</v>
      </c>
      <c r="E12" s="16">
        <v>6.15</v>
      </c>
      <c r="F12" s="16">
        <v>6.722</v>
      </c>
      <c r="G12" s="17">
        <v>-0.01</v>
      </c>
      <c r="H12" s="18">
        <v>20874115</v>
      </c>
      <c r="I12" s="18">
        <v>19592444</v>
      </c>
      <c r="J12" s="18">
        <v>1281671</v>
      </c>
      <c r="K12" s="16">
        <v>3.4875</v>
      </c>
      <c r="L12" s="16">
        <v>2.6525</v>
      </c>
      <c r="M12" s="19">
        <v>1874443838</v>
      </c>
    </row>
    <row r="13" spans="1:14" x14ac:dyDescent="0.25">
      <c r="B13" s="14" t="s">
        <v>56</v>
      </c>
      <c r="C13" s="15" t="s">
        <v>50</v>
      </c>
      <c r="D13" s="16">
        <v>6.06</v>
      </c>
      <c r="E13" s="16">
        <v>6.05</v>
      </c>
      <c r="F13" s="16">
        <v>6.6227</v>
      </c>
      <c r="G13" s="17">
        <v>0.01</v>
      </c>
      <c r="H13" s="18">
        <v>21446980</v>
      </c>
      <c r="I13" s="18">
        <v>20147293</v>
      </c>
      <c r="J13" s="18">
        <v>1299687</v>
      </c>
      <c r="K13" s="16">
        <v>3.4845</v>
      </c>
      <c r="L13" s="16">
        <v>2.5755</v>
      </c>
      <c r="M13" s="19">
        <v>1900792238</v>
      </c>
    </row>
    <row r="14" spans="1:14" x14ac:dyDescent="0.25">
      <c r="B14" s="14" t="s">
        <v>57</v>
      </c>
      <c r="C14" s="15" t="s">
        <v>50</v>
      </c>
      <c r="D14" s="16">
        <v>6.03</v>
      </c>
      <c r="E14" s="16">
        <v>5.95</v>
      </c>
      <c r="F14" s="16">
        <v>6.5446</v>
      </c>
      <c r="G14" s="17">
        <v>0.08</v>
      </c>
      <c r="H14" s="18">
        <v>21702355</v>
      </c>
      <c r="I14" s="18">
        <v>20393703</v>
      </c>
      <c r="J14" s="18">
        <v>1308652</v>
      </c>
      <c r="K14" s="16">
        <v>3.5095</v>
      </c>
      <c r="L14" s="16">
        <v>2.5205</v>
      </c>
      <c r="M14" s="19">
        <v>1913903550</v>
      </c>
    </row>
    <row r="15" spans="1:14" x14ac:dyDescent="0.25">
      <c r="B15" s="14" t="s">
        <v>58</v>
      </c>
      <c r="C15" s="15" t="s">
        <v>59</v>
      </c>
      <c r="D15" s="16">
        <v>5.92</v>
      </c>
      <c r="E15" s="16">
        <v>5.92</v>
      </c>
      <c r="F15" s="16"/>
      <c r="G15" s="17"/>
      <c r="H15" s="18">
        <v>21540900</v>
      </c>
      <c r="I15" s="18">
        <v>20265679</v>
      </c>
      <c r="J15" s="18">
        <v>1275221</v>
      </c>
      <c r="K15" s="16">
        <v>3.4691</v>
      </c>
      <c r="L15" s="16">
        <v>2.4509</v>
      </c>
      <c r="M15" s="19">
        <v>1865010712</v>
      </c>
    </row>
    <row r="16" spans="1:14" x14ac:dyDescent="0.25">
      <c r="B16" s="14" t="s">
        <v>60</v>
      </c>
      <c r="C16" s="15" t="s">
        <v>59</v>
      </c>
      <c r="D16" s="16">
        <v>5.9</v>
      </c>
      <c r="E16" s="16">
        <v>5.9</v>
      </c>
      <c r="F16" s="16"/>
      <c r="G16" s="17"/>
      <c r="H16" s="18">
        <v>21890450</v>
      </c>
      <c r="I16" s="18">
        <v>20598913</v>
      </c>
      <c r="J16" s="18">
        <v>1291537</v>
      </c>
      <c r="K16" s="16">
        <v>3.481</v>
      </c>
      <c r="L16" s="16">
        <v>2.419</v>
      </c>
      <c r="M16" s="19">
        <v>1888872862</v>
      </c>
    </row>
    <row r="17" spans="2:13" x14ac:dyDescent="0.25">
      <c r="B17" s="14" t="s">
        <v>61</v>
      </c>
      <c r="C17" s="15" t="s">
        <v>59</v>
      </c>
      <c r="D17" s="16">
        <v>5.87</v>
      </c>
      <c r="E17" s="16">
        <v>5.87</v>
      </c>
      <c r="F17" s="16"/>
      <c r="G17" s="17"/>
      <c r="H17" s="18">
        <v>22105780</v>
      </c>
      <c r="I17" s="18">
        <v>20808171</v>
      </c>
      <c r="J17" s="18">
        <v>1297609</v>
      </c>
      <c r="K17" s="16">
        <v>3.4809</v>
      </c>
      <c r="L17" s="16">
        <v>2.3891</v>
      </c>
      <c r="M17" s="19">
        <v>1897753162</v>
      </c>
    </row>
    <row r="18" spans="2:13" x14ac:dyDescent="0.25">
      <c r="B18" s="14" t="s">
        <v>62</v>
      </c>
      <c r="C18" s="15" t="s">
        <v>59</v>
      </c>
      <c r="D18" s="16">
        <v>5.85</v>
      </c>
      <c r="E18" s="16">
        <v>5.85</v>
      </c>
      <c r="F18" s="16"/>
      <c r="G18" s="17"/>
      <c r="H18" s="18">
        <v>22480310</v>
      </c>
      <c r="I18" s="18">
        <v>21165212</v>
      </c>
      <c r="J18" s="18">
        <v>1315098</v>
      </c>
      <c r="K18" s="16">
        <v>3.4866</v>
      </c>
      <c r="L18" s="16">
        <v>2.3634</v>
      </c>
      <c r="M18" s="19">
        <v>1923330825</v>
      </c>
    </row>
    <row r="19" spans="2:13" x14ac:dyDescent="0.25">
      <c r="B19" s="20" t="s">
        <v>63</v>
      </c>
      <c r="C19" s="20"/>
      <c r="D19" s="21">
        <f>SUM(J7:J18)/SUM(H7:H18)*100</f>
        <v>0</v>
      </c>
      <c r="E19" s="21">
        <f>SUMPRODUCT(E7:E18,H7:H18)/SUM(H7:H18)</f>
        <v>0</v>
      </c>
      <c r="F19" s="21"/>
      <c r="G19" s="22"/>
      <c r="H19" s="22">
        <f>SUM(H7:H18)</f>
        <v>0</v>
      </c>
      <c r="I19" s="22">
        <f>SUM(I7:I18)</f>
        <v>0</v>
      </c>
      <c r="J19" s="22">
        <f>SUM(J7:J18)</f>
        <v>0</v>
      </c>
      <c r="K19" s="21"/>
      <c r="L19" s="21"/>
      <c r="M19" s="22">
        <f>SUM(M7:M18)</f>
        <v>0</v>
      </c>
    </row>
    <row r="21" spans="2:13" x14ac:dyDescent="0.25">
      <c r="B21" s="12" t="s">
        <v>64</v>
      </c>
    </row>
  </sheetData>
  <autoFilter ref="B6:M18"/>
  <mergeCells count="3">
    <mergeCell ref="A2:J2"/>
    <mergeCell ref="A3:J3"/>
    <mergeCell ref="K2:N3"/>
  </mergeCells>
  <conditionalFormatting sqref="D7:D18">
    <cfRule type="dataBar" priority="3">
      <dataBar>
        <cfvo type="min"/>
        <cfvo type="max"/>
        <color rgb="FFEA731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G7:G18">
    <cfRule type="cellIs" dxfId="0" priority="1" operator="greaterThan">
      <formula>0</formula>
    </cfRule>
    <cfRule type="cellIs" dxfId="1" priority="2" operator="lessThanOrEqual">
      <formula>0</formula>
    </cfRule>
  </conditionalFormatting>
  <conditionalFormatting sqref="J7:J18">
    <cfRule type="dataBar" priority="4">
      <dataBar>
        <cfvo type="min"/>
        <cfvo type="max"/>
        <color rgb="FF24A5D9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EA7317"/>
              <x14:negativeFillColor rgb="FFFF0000"/>
              <x14:negativeBorderColor rgb="FFFF0000"/>
              <x14:axisColor rgb="FF000000"/>
            </x14:dataBar>
          </x14:cfRule>
          <xm:sqref>D7:D18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24A5D9"/>
              <x14:negativeFillColor rgb="FFFF0000"/>
              <x14:negativeBorderColor rgb="FFFF0000"/>
              <x14:axisColor rgb="FF000000"/>
            </x14:dataBar>
          </x14:cfRule>
          <xm:sqref>J7:J18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A1:R31"/>
  <sheetViews>
    <sheetView showGridLines="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5"/>
  <cols>
    <col min="1" max="1" width="2.7109375" customWidth="1"/>
    <col min="2" max="2" width="8.7109375" customWidth="1"/>
    <col min="3" max="3" width="46.7109375" customWidth="1"/>
    <col min="4" max="4" width="11.7109375" customWidth="1"/>
    <col min="5" max="16" width="10.28515625" customWidth="1"/>
    <col min="17" max="18" width="12.7109375" customWidth="1"/>
  </cols>
  <sheetData>
    <row r="1" spans="1:18" ht="8" customHeight="1"/>
    <row r="2" spans="1:18" ht="30" customHeight="1">
      <c r="A2" s="1" t="s">
        <v>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 t="s">
        <v>2</v>
      </c>
      <c r="P2" s="2"/>
      <c r="Q2" s="2"/>
      <c r="R2" s="2"/>
    </row>
    <row r="3" spans="1:18" ht="18" customHeight="1">
      <c r="A3" s="3" t="s">
        <v>66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</row>
    <row r="4" spans="1:18" ht="8" customHeight="1"/>
    <row r="5" spans="1:18" ht="22" customHeight="1">
      <c r="B5" s="23" t="s">
        <v>67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7" spans="1:18" ht="30" customHeight="1">
      <c r="B7" s="13" t="s">
        <v>68</v>
      </c>
      <c r="C7" s="24" t="s">
        <v>69</v>
      </c>
      <c r="D7" s="13" t="s">
        <v>70</v>
      </c>
      <c r="E7" s="13" t="s">
        <v>49</v>
      </c>
      <c r="F7" s="13" t="s">
        <v>51</v>
      </c>
      <c r="G7" s="13" t="s">
        <v>52</v>
      </c>
      <c r="H7" s="13" t="s">
        <v>53</v>
      </c>
      <c r="I7" s="13" t="s">
        <v>54</v>
      </c>
      <c r="J7" s="13" t="s">
        <v>55</v>
      </c>
      <c r="K7" s="13" t="s">
        <v>56</v>
      </c>
      <c r="L7" s="13" t="s">
        <v>57</v>
      </c>
      <c r="M7" s="13" t="s">
        <v>58</v>
      </c>
      <c r="N7" s="13" t="s">
        <v>60</v>
      </c>
      <c r="O7" s="13" t="s">
        <v>61</v>
      </c>
      <c r="P7" s="13" t="s">
        <v>62</v>
      </c>
      <c r="Q7" s="13" t="s">
        <v>71</v>
      </c>
      <c r="R7" s="13" t="s">
        <v>72</v>
      </c>
    </row>
    <row r="8" spans="1:18">
      <c r="B8" s="25" t="s">
        <v>73</v>
      </c>
      <c r="C8" s="26" t="s">
        <v>74</v>
      </c>
      <c r="D8" s="15" t="s">
        <v>75</v>
      </c>
      <c r="E8" s="27">
        <v>16.03</v>
      </c>
      <c r="F8" s="27">
        <v>16.27</v>
      </c>
      <c r="G8" s="27">
        <v>14.78</v>
      </c>
      <c r="H8" s="27">
        <v>18.37</v>
      </c>
      <c r="I8" s="27">
        <v>14.77</v>
      </c>
      <c r="J8" s="27">
        <v>15.24</v>
      </c>
      <c r="K8" s="27">
        <v>14.52</v>
      </c>
      <c r="L8" s="27">
        <v>17.23</v>
      </c>
      <c r="M8" s="27"/>
      <c r="N8" s="27"/>
      <c r="O8" s="27"/>
      <c r="P8" s="27"/>
      <c r="Q8" s="22">
        <f>SUM(E8:P8)</f>
        <v>0</v>
      </c>
      <c r="R8" s="17">
        <v>180</v>
      </c>
    </row>
    <row r="9" spans="1:18">
      <c r="B9" s="25" t="s">
        <v>76</v>
      </c>
      <c r="C9" s="26" t="s">
        <v>77</v>
      </c>
      <c r="D9" s="15" t="s">
        <v>78</v>
      </c>
      <c r="E9" s="27">
        <v>0.39</v>
      </c>
      <c r="F9" s="27">
        <v>0.76</v>
      </c>
      <c r="G9" s="27">
        <v>1.9</v>
      </c>
      <c r="H9" s="27">
        <v>0.95</v>
      </c>
      <c r="I9" s="27">
        <v>1.29</v>
      </c>
      <c r="J9" s="27">
        <v>1.88</v>
      </c>
      <c r="K9" s="27">
        <v>0.9</v>
      </c>
      <c r="L9" s="27">
        <v>1.34</v>
      </c>
      <c r="M9" s="27"/>
      <c r="N9" s="27"/>
      <c r="O9" s="27"/>
      <c r="P9" s="27"/>
      <c r="Q9" s="22">
        <f>SUM(E9:P9)</f>
        <v>0</v>
      </c>
      <c r="R9" s="17">
        <v>24.5</v>
      </c>
    </row>
    <row r="10" spans="1:18">
      <c r="B10" s="25" t="s">
        <v>79</v>
      </c>
      <c r="C10" s="26" t="s">
        <v>80</v>
      </c>
      <c r="D10" s="15" t="s">
        <v>81</v>
      </c>
      <c r="E10" s="27">
        <v>0.14</v>
      </c>
      <c r="F10" s="27">
        <v>0.36</v>
      </c>
      <c r="G10" s="27">
        <v>0.73</v>
      </c>
      <c r="H10" s="27">
        <v>0.38</v>
      </c>
      <c r="I10" s="27">
        <v>0.48</v>
      </c>
      <c r="J10" s="27">
        <v>0.85</v>
      </c>
      <c r="K10" s="27">
        <v>0.3</v>
      </c>
      <c r="L10" s="27">
        <v>0.51</v>
      </c>
      <c r="M10" s="27"/>
      <c r="N10" s="27"/>
      <c r="O10" s="27"/>
      <c r="P10" s="27"/>
      <c r="Q10" s="22">
        <f>SUM(E10:P10)</f>
        <v>0</v>
      </c>
      <c r="R10" s="17">
        <v>12</v>
      </c>
    </row>
    <row r="11" spans="1:18">
      <c r="B11" s="25" t="s">
        <v>82</v>
      </c>
      <c r="C11" s="26" t="s">
        <v>83</v>
      </c>
      <c r="D11" s="15" t="s">
        <v>84</v>
      </c>
      <c r="E11" s="27">
        <v>99.45999999999999</v>
      </c>
      <c r="F11" s="27">
        <v>102.33</v>
      </c>
      <c r="G11" s="27">
        <v>111.2</v>
      </c>
      <c r="H11" s="27">
        <v>99.22</v>
      </c>
      <c r="I11" s="27">
        <v>89.56999999999999</v>
      </c>
      <c r="J11" s="27">
        <v>85.31999999999999</v>
      </c>
      <c r="K11" s="27">
        <v>120.11</v>
      </c>
      <c r="L11" s="27">
        <v>95.13</v>
      </c>
      <c r="M11" s="27"/>
      <c r="N11" s="27"/>
      <c r="O11" s="27"/>
      <c r="P11" s="27"/>
      <c r="Q11" s="22">
        <f>SUM(E11:P11)</f>
        <v>0</v>
      </c>
      <c r="R11" s="17">
        <v>1450</v>
      </c>
    </row>
    <row r="12" spans="1:18">
      <c r="B12" s="25" t="s">
        <v>85</v>
      </c>
      <c r="C12" s="26" t="s">
        <v>86</v>
      </c>
      <c r="D12" s="15" t="s">
        <v>87</v>
      </c>
      <c r="E12" s="27">
        <v>0</v>
      </c>
      <c r="F12" s="27">
        <v>0.06</v>
      </c>
      <c r="G12" s="27">
        <v>0.16</v>
      </c>
      <c r="H12" s="27">
        <v>0.28</v>
      </c>
      <c r="I12" s="27">
        <v>0.37</v>
      </c>
      <c r="J12" s="27">
        <v>0.52</v>
      </c>
      <c r="K12" s="27">
        <v>0.12</v>
      </c>
      <c r="L12" s="27">
        <v>0.18</v>
      </c>
      <c r="M12" s="27"/>
      <c r="N12" s="27"/>
      <c r="O12" s="27"/>
      <c r="P12" s="27"/>
      <c r="Q12" s="22">
        <f>SUM(E12:P12)</f>
        <v>0</v>
      </c>
      <c r="R12" s="17">
        <v>6</v>
      </c>
    </row>
    <row r="13" spans="1:18">
      <c r="B13" s="25" t="s">
        <v>88</v>
      </c>
      <c r="C13" s="26" t="s">
        <v>89</v>
      </c>
      <c r="D13" s="15" t="s">
        <v>81</v>
      </c>
      <c r="E13" s="27">
        <v>0</v>
      </c>
      <c r="F13" s="27">
        <v>0.08</v>
      </c>
      <c r="G13" s="27">
        <v>0.26</v>
      </c>
      <c r="H13" s="27">
        <v>0.31</v>
      </c>
      <c r="I13" s="27">
        <v>0.41</v>
      </c>
      <c r="J13" s="27">
        <v>0.49</v>
      </c>
      <c r="K13" s="27">
        <v>0.14</v>
      </c>
      <c r="L13" s="27">
        <v>0.29</v>
      </c>
      <c r="M13" s="27"/>
      <c r="N13" s="27"/>
      <c r="O13" s="27"/>
      <c r="P13" s="27"/>
      <c r="Q13" s="22">
        <f>SUM(E13:P13)</f>
        <v>0</v>
      </c>
      <c r="R13" s="17">
        <v>8</v>
      </c>
    </row>
    <row r="14" spans="1:18">
      <c r="B14" s="25" t="s">
        <v>90</v>
      </c>
      <c r="C14" s="26" t="s">
        <v>91</v>
      </c>
      <c r="D14" s="15" t="s">
        <v>92</v>
      </c>
      <c r="E14" s="27">
        <v>53.23</v>
      </c>
      <c r="F14" s="27">
        <v>49.68</v>
      </c>
      <c r="G14" s="27">
        <v>50.44</v>
      </c>
      <c r="H14" s="27">
        <v>44.44</v>
      </c>
      <c r="I14" s="27">
        <v>45.84</v>
      </c>
      <c r="J14" s="27">
        <v>51.45</v>
      </c>
      <c r="K14" s="27">
        <v>47.29</v>
      </c>
      <c r="L14" s="27">
        <v>50.3</v>
      </c>
      <c r="M14" s="27"/>
      <c r="N14" s="27"/>
      <c r="O14" s="27"/>
      <c r="P14" s="27"/>
      <c r="Q14" s="22">
        <f>SUM(E14:P14)</f>
        <v>0</v>
      </c>
      <c r="R14" s="17">
        <v>620</v>
      </c>
    </row>
    <row r="15" spans="1:18">
      <c r="B15" s="25" t="s">
        <v>93</v>
      </c>
      <c r="C15" s="26" t="s">
        <v>94</v>
      </c>
      <c r="D15" s="15" t="s">
        <v>81</v>
      </c>
      <c r="E15" s="27">
        <v>0.79</v>
      </c>
      <c r="F15" s="27">
        <v>1.38</v>
      </c>
      <c r="G15" s="27">
        <v>3.1</v>
      </c>
      <c r="H15" s="27">
        <v>1.67</v>
      </c>
      <c r="I15" s="27">
        <v>2.07</v>
      </c>
      <c r="J15" s="27">
        <v>3.38</v>
      </c>
      <c r="K15" s="27">
        <v>1.82</v>
      </c>
      <c r="L15" s="27">
        <v>2.07</v>
      </c>
      <c r="M15" s="27"/>
      <c r="N15" s="27"/>
      <c r="O15" s="27"/>
      <c r="P15" s="27"/>
      <c r="Q15" s="22">
        <f>SUM(E15:P15)</f>
        <v>0</v>
      </c>
      <c r="R15" s="17">
        <v>45</v>
      </c>
    </row>
    <row r="16" spans="1:18">
      <c r="B16" s="25" t="s">
        <v>95</v>
      </c>
      <c r="C16" s="26" t="s">
        <v>96</v>
      </c>
      <c r="D16" s="15" t="s">
        <v>75</v>
      </c>
      <c r="E16" s="27">
        <v>22.79</v>
      </c>
      <c r="F16" s="27">
        <v>18.08</v>
      </c>
      <c r="G16" s="27">
        <v>21.67</v>
      </c>
      <c r="H16" s="27">
        <v>22.86</v>
      </c>
      <c r="I16" s="27">
        <v>23.61</v>
      </c>
      <c r="J16" s="27">
        <v>19.35</v>
      </c>
      <c r="K16" s="27">
        <v>17.45</v>
      </c>
      <c r="L16" s="27">
        <v>17.39</v>
      </c>
      <c r="M16" s="27"/>
      <c r="N16" s="27"/>
      <c r="O16" s="27"/>
      <c r="P16" s="27"/>
      <c r="Q16" s="22">
        <f>SUM(E16:P16)</f>
        <v>0</v>
      </c>
      <c r="R16" s="17">
        <v>240</v>
      </c>
    </row>
    <row r="17" spans="2:18">
      <c r="B17" s="25" t="s">
        <v>97</v>
      </c>
      <c r="C17" s="26" t="s">
        <v>98</v>
      </c>
      <c r="D17" s="15" t="s">
        <v>78</v>
      </c>
      <c r="E17" s="27">
        <v>0</v>
      </c>
      <c r="F17" s="27">
        <v>0.07000000000000001</v>
      </c>
      <c r="G17" s="27">
        <v>0.18</v>
      </c>
      <c r="H17" s="27">
        <v>0.35</v>
      </c>
      <c r="I17" s="27">
        <v>0.44</v>
      </c>
      <c r="J17" s="27">
        <v>0.51</v>
      </c>
      <c r="K17" s="27">
        <v>0.16</v>
      </c>
      <c r="L17" s="27">
        <v>0.25</v>
      </c>
      <c r="M17" s="27"/>
      <c r="N17" s="27"/>
      <c r="O17" s="27"/>
      <c r="P17" s="27"/>
      <c r="Q17" s="22">
        <f>SUM(E17:P17)</f>
        <v>0</v>
      </c>
      <c r="R17" s="17">
        <v>9.800000000000001</v>
      </c>
    </row>
    <row r="18" spans="2:18">
      <c r="B18" s="28" t="s">
        <v>99</v>
      </c>
      <c r="C18" s="26" t="s">
        <v>100</v>
      </c>
      <c r="D18" s="15" t="s">
        <v>84</v>
      </c>
      <c r="E18" s="27">
        <v>299.24</v>
      </c>
      <c r="F18" s="27">
        <v>242.91</v>
      </c>
      <c r="G18" s="27">
        <v>285.1</v>
      </c>
      <c r="H18" s="27">
        <v>256.97</v>
      </c>
      <c r="I18" s="27">
        <v>269.5</v>
      </c>
      <c r="J18" s="27">
        <v>247.06</v>
      </c>
      <c r="K18" s="27">
        <v>316.7</v>
      </c>
      <c r="L18" s="27">
        <v>290.5</v>
      </c>
      <c r="M18" s="27"/>
      <c r="N18" s="27"/>
      <c r="O18" s="27"/>
      <c r="P18" s="27"/>
      <c r="Q18" s="22">
        <f>SUM(E18:P18)</f>
        <v>0</v>
      </c>
      <c r="R18" s="17">
        <v>3600</v>
      </c>
    </row>
    <row r="19" spans="2:18">
      <c r="B19" s="28" t="s">
        <v>101</v>
      </c>
      <c r="C19" s="26" t="s">
        <v>102</v>
      </c>
      <c r="D19" s="15" t="s">
        <v>103</v>
      </c>
      <c r="E19" s="27">
        <v>76379.13</v>
      </c>
      <c r="F19" s="27">
        <v>94231.83</v>
      </c>
      <c r="G19" s="27">
        <v>83456.82000000001</v>
      </c>
      <c r="H19" s="27">
        <v>78046.28</v>
      </c>
      <c r="I19" s="27">
        <v>80713.09</v>
      </c>
      <c r="J19" s="27">
        <v>87632.58</v>
      </c>
      <c r="K19" s="27">
        <v>83425.91</v>
      </c>
      <c r="L19" s="27">
        <v>90781.03</v>
      </c>
      <c r="M19" s="27"/>
      <c r="N19" s="27"/>
      <c r="O19" s="27"/>
      <c r="P19" s="27"/>
      <c r="Q19" s="22">
        <f>SUM(E19:P19)</f>
        <v>0</v>
      </c>
      <c r="R19" s="17">
        <v>1150000</v>
      </c>
    </row>
    <row r="20" spans="2:18">
      <c r="B20" s="28" t="s">
        <v>104</v>
      </c>
      <c r="C20" s="26" t="s">
        <v>105</v>
      </c>
      <c r="D20" s="15" t="s">
        <v>106</v>
      </c>
      <c r="E20" s="27">
        <v>235.58</v>
      </c>
      <c r="F20" s="27">
        <v>212.62</v>
      </c>
      <c r="G20" s="27">
        <v>203.35</v>
      </c>
      <c r="H20" s="27">
        <v>202.88</v>
      </c>
      <c r="I20" s="27">
        <v>208.25</v>
      </c>
      <c r="J20" s="27">
        <v>187.09</v>
      </c>
      <c r="K20" s="27">
        <v>226.66</v>
      </c>
      <c r="L20" s="27">
        <v>200.89</v>
      </c>
      <c r="M20" s="27"/>
      <c r="N20" s="27"/>
      <c r="O20" s="27"/>
      <c r="P20" s="27"/>
      <c r="Q20" s="22">
        <f>SUM(E20:P20)</f>
        <v>0</v>
      </c>
      <c r="R20" s="17">
        <v>3400</v>
      </c>
    </row>
    <row r="21" spans="2:18">
      <c r="B21" s="28" t="s">
        <v>107</v>
      </c>
      <c r="C21" s="26" t="s">
        <v>108</v>
      </c>
      <c r="D21" s="15" t="s">
        <v>81</v>
      </c>
      <c r="E21" s="27">
        <v>198.19</v>
      </c>
      <c r="F21" s="27">
        <v>180.22</v>
      </c>
      <c r="G21" s="27">
        <v>177.12</v>
      </c>
      <c r="H21" s="27">
        <v>213.38</v>
      </c>
      <c r="I21" s="27">
        <v>221.67</v>
      </c>
      <c r="J21" s="27">
        <v>172.47</v>
      </c>
      <c r="K21" s="27">
        <v>231.04</v>
      </c>
      <c r="L21" s="27">
        <v>182.58</v>
      </c>
      <c r="M21" s="27"/>
      <c r="N21" s="27"/>
      <c r="O21" s="27"/>
      <c r="P21" s="27"/>
      <c r="Q21" s="22">
        <f>SUM(E21:P21)</f>
        <v>0</v>
      </c>
      <c r="R21" s="17">
        <v>2750</v>
      </c>
    </row>
    <row r="22" spans="2:18">
      <c r="B22" s="28" t="s">
        <v>109</v>
      </c>
      <c r="C22" s="26" t="s">
        <v>110</v>
      </c>
      <c r="D22" s="15" t="s">
        <v>81</v>
      </c>
      <c r="E22" s="27">
        <v>29.32</v>
      </c>
      <c r="F22" s="27">
        <v>54.85</v>
      </c>
      <c r="G22" s="27">
        <v>127</v>
      </c>
      <c r="H22" s="27">
        <v>55.7</v>
      </c>
      <c r="I22" s="27">
        <v>100.62</v>
      </c>
      <c r="J22" s="27">
        <v>125.8</v>
      </c>
      <c r="K22" s="27">
        <v>64.70999999999999</v>
      </c>
      <c r="L22" s="27">
        <v>88.37</v>
      </c>
      <c r="M22" s="27"/>
      <c r="N22" s="27"/>
      <c r="O22" s="27"/>
      <c r="P22" s="27"/>
      <c r="Q22" s="22">
        <f>SUM(E22:P22)</f>
        <v>0</v>
      </c>
      <c r="R22" s="17">
        <v>1900</v>
      </c>
    </row>
    <row r="23" spans="2:18">
      <c r="B23" s="28" t="s">
        <v>111</v>
      </c>
      <c r="C23" s="26" t="s">
        <v>112</v>
      </c>
      <c r="D23" s="15" t="s">
        <v>84</v>
      </c>
      <c r="E23" s="27">
        <v>12.21</v>
      </c>
      <c r="F23" s="27">
        <v>9.380000000000001</v>
      </c>
      <c r="G23" s="27">
        <v>8.98</v>
      </c>
      <c r="H23" s="27">
        <v>11.77</v>
      </c>
      <c r="I23" s="27">
        <v>11.51</v>
      </c>
      <c r="J23" s="27">
        <v>11.72</v>
      </c>
      <c r="K23" s="27">
        <v>11.23</v>
      </c>
      <c r="L23" s="27">
        <v>11.68</v>
      </c>
      <c r="M23" s="27"/>
      <c r="N23" s="27"/>
      <c r="O23" s="27"/>
      <c r="P23" s="27"/>
      <c r="Q23" s="22">
        <f>SUM(E23:P23)</f>
        <v>0</v>
      </c>
      <c r="R23" s="17">
        <v>168</v>
      </c>
    </row>
    <row r="24" spans="2:18">
      <c r="B24" s="28" t="s">
        <v>113</v>
      </c>
      <c r="C24" s="26" t="s">
        <v>114</v>
      </c>
      <c r="D24" s="15" t="s">
        <v>84</v>
      </c>
      <c r="E24" s="27">
        <v>158.4</v>
      </c>
      <c r="F24" s="27">
        <v>123.94</v>
      </c>
      <c r="G24" s="27">
        <v>140.63</v>
      </c>
      <c r="H24" s="27">
        <v>151.56</v>
      </c>
      <c r="I24" s="27">
        <v>122.29</v>
      </c>
      <c r="J24" s="27">
        <v>140.33</v>
      </c>
      <c r="K24" s="27">
        <v>117.13</v>
      </c>
      <c r="L24" s="27">
        <v>149.73</v>
      </c>
      <c r="M24" s="27"/>
      <c r="N24" s="27"/>
      <c r="O24" s="27"/>
      <c r="P24" s="27"/>
      <c r="Q24" s="22">
        <f>SUM(E24:P24)</f>
        <v>0</v>
      </c>
      <c r="R24" s="17">
        <v>2400</v>
      </c>
    </row>
    <row r="25" spans="2:18">
      <c r="B25" s="28" t="s">
        <v>115</v>
      </c>
      <c r="C25" s="26" t="s">
        <v>116</v>
      </c>
      <c r="D25" s="15" t="s">
        <v>117</v>
      </c>
      <c r="E25" s="27">
        <v>274.03</v>
      </c>
      <c r="F25" s="27">
        <v>254.52</v>
      </c>
      <c r="G25" s="27">
        <v>290.11</v>
      </c>
      <c r="H25" s="27">
        <v>318.35</v>
      </c>
      <c r="I25" s="27">
        <v>270.47</v>
      </c>
      <c r="J25" s="27">
        <v>280.25</v>
      </c>
      <c r="K25" s="27">
        <v>258.06</v>
      </c>
      <c r="L25" s="27">
        <v>322.22</v>
      </c>
      <c r="M25" s="27"/>
      <c r="N25" s="27"/>
      <c r="O25" s="27"/>
      <c r="P25" s="27"/>
      <c r="Q25" s="22">
        <f>SUM(E25:P25)</f>
        <v>0</v>
      </c>
      <c r="R25" s="17">
        <v>4200</v>
      </c>
    </row>
    <row r="26" spans="2:18">
      <c r="B26" s="28" t="s">
        <v>118</v>
      </c>
      <c r="C26" s="26" t="s">
        <v>119</v>
      </c>
      <c r="D26" s="15" t="s">
        <v>92</v>
      </c>
      <c r="E26" s="27">
        <v>4.07</v>
      </c>
      <c r="F26" s="27">
        <v>9.81</v>
      </c>
      <c r="G26" s="27">
        <v>18.83</v>
      </c>
      <c r="H26" s="27">
        <v>8.98</v>
      </c>
      <c r="I26" s="27">
        <v>14.18</v>
      </c>
      <c r="J26" s="27">
        <v>18.27</v>
      </c>
      <c r="K26" s="27">
        <v>8.119999999999999</v>
      </c>
      <c r="L26" s="27">
        <v>12.77</v>
      </c>
      <c r="M26" s="27"/>
      <c r="N26" s="27"/>
      <c r="O26" s="27"/>
      <c r="P26" s="27"/>
      <c r="Q26" s="22">
        <f>SUM(E26:P26)</f>
        <v>0</v>
      </c>
      <c r="R26" s="17">
        <v>320</v>
      </c>
    </row>
    <row r="27" spans="2:18">
      <c r="B27" s="28" t="s">
        <v>120</v>
      </c>
      <c r="C27" s="26" t="s">
        <v>121</v>
      </c>
      <c r="D27" s="15" t="s">
        <v>84</v>
      </c>
      <c r="E27" s="27">
        <v>92.73</v>
      </c>
      <c r="F27" s="27">
        <v>87.73</v>
      </c>
      <c r="G27" s="27">
        <v>77.31999999999999</v>
      </c>
      <c r="H27" s="27">
        <v>89.22</v>
      </c>
      <c r="I27" s="27">
        <v>84.88</v>
      </c>
      <c r="J27" s="27">
        <v>85.78</v>
      </c>
      <c r="K27" s="27">
        <v>84.95999999999999</v>
      </c>
      <c r="L27" s="27">
        <v>86.72</v>
      </c>
      <c r="M27" s="27"/>
      <c r="N27" s="27"/>
      <c r="O27" s="27"/>
      <c r="P27" s="27"/>
      <c r="Q27" s="22">
        <f>SUM(E27:P27)</f>
        <v>0</v>
      </c>
      <c r="R27" s="17">
        <v>1100</v>
      </c>
    </row>
    <row r="28" spans="2:18">
      <c r="B28" s="28" t="s">
        <v>122</v>
      </c>
      <c r="C28" s="26" t="s">
        <v>123</v>
      </c>
      <c r="D28" s="15" t="s">
        <v>117</v>
      </c>
      <c r="E28" s="27">
        <v>848.97</v>
      </c>
      <c r="F28" s="27">
        <v>880.66</v>
      </c>
      <c r="G28" s="27">
        <v>1066.23</v>
      </c>
      <c r="H28" s="27">
        <v>1065.04</v>
      </c>
      <c r="I28" s="27">
        <v>891.72</v>
      </c>
      <c r="J28" s="27">
        <v>872.28</v>
      </c>
      <c r="K28" s="27">
        <v>1048.57</v>
      </c>
      <c r="L28" s="27">
        <v>1086.54</v>
      </c>
      <c r="M28" s="27"/>
      <c r="N28" s="27"/>
      <c r="O28" s="27"/>
      <c r="P28" s="27"/>
      <c r="Q28" s="22">
        <f>SUM(E28:P28)</f>
        <v>0</v>
      </c>
      <c r="R28" s="17">
        <v>12000</v>
      </c>
    </row>
    <row r="29" spans="2:18">
      <c r="B29" s="28" t="s">
        <v>124</v>
      </c>
      <c r="C29" s="26" t="s">
        <v>125</v>
      </c>
      <c r="D29" s="15" t="s">
        <v>92</v>
      </c>
      <c r="E29" s="27">
        <v>9.199999999999999</v>
      </c>
      <c r="F29" s="27">
        <v>9.91</v>
      </c>
      <c r="G29" s="27">
        <v>11.35</v>
      </c>
      <c r="H29" s="27">
        <v>12.52</v>
      </c>
      <c r="I29" s="27">
        <v>9.65</v>
      </c>
      <c r="J29" s="27">
        <v>12.37</v>
      </c>
      <c r="K29" s="27">
        <v>10.22</v>
      </c>
      <c r="L29" s="27">
        <v>10.18</v>
      </c>
      <c r="M29" s="27"/>
      <c r="N29" s="27"/>
      <c r="O29" s="27"/>
      <c r="P29" s="27"/>
      <c r="Q29" s="22">
        <f>SUM(E29:P29)</f>
        <v>0</v>
      </c>
      <c r="R29" s="17">
        <v>210</v>
      </c>
    </row>
    <row r="31" spans="2:18">
      <c r="B31" s="12" t="s">
        <v>126</v>
      </c>
    </row>
  </sheetData>
  <mergeCells count="4">
    <mergeCell ref="A2:N2"/>
    <mergeCell ref="A3:N3"/>
    <mergeCell ref="O2:R3"/>
    <mergeCell ref="B5:R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9F9F"/>
  </sheetPr>
  <dimension ref="A1:R31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.7109375" customWidth="1"/>
    <col min="2" max="2" width="7.7109375" customWidth="1"/>
    <col min="3" max="3" width="44.7109375" customWidth="1"/>
    <col min="4" max="4" width="11.7109375" customWidth="1"/>
    <col min="5" max="5" width="10.7109375" customWidth="1"/>
    <col min="6" max="12" width="12.28515625" customWidth="1"/>
    <col min="13" max="16" width="13.7109375" customWidth="1"/>
    <col min="17" max="17" width="12.7109375" customWidth="1"/>
    <col min="18" max="18" width="26.7109375" customWidth="1"/>
  </cols>
  <sheetData>
    <row r="1" spans="1:18" ht="8" customHeight="1" x14ac:dyDescent="0.25"/>
    <row r="2" spans="1:18" ht="30" customHeight="1" x14ac:dyDescent="0.25">
      <c r="A2" s="1" t="s">
        <v>127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2</v>
      </c>
      <c r="O2" s="2"/>
      <c r="P2" s="2"/>
      <c r="Q2" s="2"/>
    </row>
    <row r="3" spans="1:18" ht="18" customHeight="1" x14ac:dyDescent="0.25">
      <c r="A3" s="3" t="s">
        <v>128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</row>
    <row r="4" spans="1:18" ht="8" customHeight="1" x14ac:dyDescent="0.25"/>
    <row r="6" spans="1:18" ht="34" customHeight="1" x14ac:dyDescent="0.25">
      <c r="B6" s="13" t="s">
        <v>68</v>
      </c>
      <c r="C6" s="24" t="s">
        <v>69</v>
      </c>
      <c r="D6" s="13" t="s">
        <v>70</v>
      </c>
      <c r="E6" s="13" t="s">
        <v>129</v>
      </c>
      <c r="F6" s="13" t="s">
        <v>72</v>
      </c>
      <c r="G6" s="13" t="s">
        <v>130</v>
      </c>
      <c r="H6" s="13" t="s">
        <v>131</v>
      </c>
      <c r="I6" s="13" t="s">
        <v>132</v>
      </c>
      <c r="J6" s="13" t="s">
        <v>133</v>
      </c>
      <c r="K6" s="13" t="s">
        <v>134</v>
      </c>
      <c r="L6" s="13" t="s">
        <v>135</v>
      </c>
      <c r="M6" s="13" t="s">
        <v>136</v>
      </c>
      <c r="N6" s="13" t="s">
        <v>137</v>
      </c>
      <c r="O6" s="13" t="s">
        <v>138</v>
      </c>
      <c r="P6" s="13" t="s">
        <v>139</v>
      </c>
      <c r="Q6" s="13" t="s">
        <v>38</v>
      </c>
      <c r="R6" s="13" t="s">
        <v>140</v>
      </c>
    </row>
    <row r="7" spans="1:18" x14ac:dyDescent="0.25">
      <c r="B7" s="25" t="s">
        <v>73</v>
      </c>
      <c r="C7" s="26" t="s">
        <v>74</v>
      </c>
      <c r="D7" s="15" t="s">
        <v>75</v>
      </c>
      <c r="E7" s="15" t="s">
        <v>141</v>
      </c>
      <c r="F7" s="17">
        <v>180</v>
      </c>
      <c r="G7" s="17">
        <v>120</v>
      </c>
      <c r="H7" s="17">
        <f>SUM('INPUT REALISASI'!E8:L8)</f>
        <v>127.21</v>
      </c>
      <c r="I7" s="16">
        <f>IF(G7=0,0,H7/G7*100)</f>
        <v>106.01</v>
      </c>
      <c r="J7" s="16">
        <f>IF(F7=0,0,H7/F7*100)</f>
        <v>70.67</v>
      </c>
      <c r="K7" s="17">
        <f>MAX(F7-H7,0)</f>
        <v>52.79</v>
      </c>
      <c r="L7" s="17">
        <f>K7/4</f>
        <v>13.2</v>
      </c>
      <c r="M7" s="17">
        <f>H7/8</f>
        <v>15.9</v>
      </c>
      <c r="N7" s="17">
        <f>IF(M7=0,"-",L7/M7)</f>
        <v>0.83</v>
      </c>
      <c r="O7" s="18">
        <f>H7*950.0</f>
        <v>120850</v>
      </c>
      <c r="P7" s="18">
        <f>K7*950.0</f>
        <v>50150</v>
      </c>
      <c r="Q7" s="29" t="str">
        <f>IF(I7&gt;=100,"TERCAPAI",IF(I7&gt;=90,"WASPADA",IF(I7&gt;=75,"TERLAMBAT","KRITIS")))</f>
        <v>TERCAPAI</v>
      </c>
      <c r="R7" s="26" t="s">
        <v>142</v>
      </c>
    </row>
    <row r="8" spans="1:18" x14ac:dyDescent="0.25">
      <c r="B8" s="25" t="s">
        <v>76</v>
      </c>
      <c r="C8" s="26" t="s">
        <v>77</v>
      </c>
      <c r="D8" s="15" t="s">
        <v>78</v>
      </c>
      <c r="E8" s="15" t="s">
        <v>141</v>
      </c>
      <c r="F8" s="17">
        <v>24.5</v>
      </c>
      <c r="G8" s="17">
        <v>13.25</v>
      </c>
      <c r="H8" s="17">
        <f>SUM('INPUT REALISASI'!E9:L9)</f>
        <v>9.41</v>
      </c>
      <c r="I8" s="16">
        <f>IF(G8=0,0,H8/G8*100)</f>
        <v>71.02</v>
      </c>
      <c r="J8" s="16">
        <f>IF(F8=0,0,H8/F8*100)</f>
        <v>38.41</v>
      </c>
      <c r="K8" s="17">
        <f>MAX(F8-H8,0)</f>
        <v>15.09</v>
      </c>
      <c r="L8" s="17">
        <f>K8/4</f>
        <v>3.77</v>
      </c>
      <c r="M8" s="17">
        <f>H8/8</f>
        <v>1.18</v>
      </c>
      <c r="N8" s="17">
        <f>IF(M8=0,"-",L8/M8)</f>
        <v>3.21</v>
      </c>
      <c r="O8" s="18">
        <f>H8*6200.0</f>
        <v>58342</v>
      </c>
      <c r="P8" s="18">
        <f>K8*6200.0</f>
        <v>93558</v>
      </c>
      <c r="Q8" s="30" t="str">
        <f>IF(I8&gt;=100,"TERCAPAI",IF(I8&gt;=90,"WASPADA",IF(I8&gt;=75,"TERLAMBAT","KRITIS")))</f>
        <v>KRITIS</v>
      </c>
      <c r="R8" s="26" t="s">
        <v>142</v>
      </c>
    </row>
    <row r="9" spans="1:18" x14ac:dyDescent="0.25">
      <c r="B9" s="25" t="s">
        <v>79</v>
      </c>
      <c r="C9" s="26" t="s">
        <v>80</v>
      </c>
      <c r="D9" s="15" t="s">
        <v>81</v>
      </c>
      <c r="E9" s="15" t="s">
        <v>141</v>
      </c>
      <c r="F9" s="17">
        <v>12</v>
      </c>
      <c r="G9" s="17">
        <v>6.48</v>
      </c>
      <c r="H9" s="17">
        <f>SUM('INPUT REALISASI'!E10:L10)</f>
        <v>3.75</v>
      </c>
      <c r="I9" s="16">
        <f>IF(G9=0,0,H9/G9*100)</f>
        <v>57.87</v>
      </c>
      <c r="J9" s="16">
        <f>IF(F9=0,0,H9/F9*100)</f>
        <v>31.25</v>
      </c>
      <c r="K9" s="17">
        <f>MAX(F9-H9,0)</f>
        <v>8.25</v>
      </c>
      <c r="L9" s="17">
        <f>K9/4</f>
        <v>2.06</v>
      </c>
      <c r="M9" s="17">
        <f>H9/8</f>
        <v>0.47</v>
      </c>
      <c r="N9" s="17">
        <f>IF(M9=0,"-",L9/M9)</f>
        <v>4.4</v>
      </c>
      <c r="O9" s="18">
        <f>H9*11500.0</f>
        <v>43125</v>
      </c>
      <c r="P9" s="18">
        <f>K9*11500.0</f>
        <v>94875</v>
      </c>
      <c r="Q9" s="30" t="str">
        <f>IF(I9&gt;=100,"TERCAPAI",IF(I9&gt;=90,"WASPADA",IF(I9&gt;=75,"TERLAMBAT","KRITIS")))</f>
        <v>KRITIS</v>
      </c>
      <c r="R9" s="26" t="s">
        <v>142</v>
      </c>
    </row>
    <row r="10" spans="1:18" x14ac:dyDescent="0.25">
      <c r="B10" s="25" t="s">
        <v>82</v>
      </c>
      <c r="C10" s="26" t="s">
        <v>83</v>
      </c>
      <c r="D10" s="15" t="s">
        <v>84</v>
      </c>
      <c r="E10" s="15" t="s">
        <v>141</v>
      </c>
      <c r="F10" s="17">
        <v>1450</v>
      </c>
      <c r="G10" s="17">
        <v>966.64</v>
      </c>
      <c r="H10" s="17">
        <f>SUM('INPUT REALISASI'!E11:L11)</f>
        <v>802.34</v>
      </c>
      <c r="I10" s="16">
        <f>IF(G10=0,0,H10/G10*100)</f>
        <v>83.0</v>
      </c>
      <c r="J10" s="16">
        <f>IF(F10=0,0,H10/F10*100)</f>
        <v>55.33</v>
      </c>
      <c r="K10" s="17">
        <f>MAX(F10-H10,0)</f>
        <v>647.66</v>
      </c>
      <c r="L10" s="17">
        <f>K10/4</f>
        <v>161.91</v>
      </c>
      <c r="M10" s="17">
        <f>H10/8</f>
        <v>100.29</v>
      </c>
      <c r="N10" s="17">
        <f>IF(M10=0,"-",L10/M10)</f>
        <v>1.61</v>
      </c>
      <c r="O10" s="18">
        <f>H10*62.0</f>
        <v>49745</v>
      </c>
      <c r="P10" s="18">
        <f>K10*62.0</f>
        <v>40155</v>
      </c>
      <c r="Q10" s="31" t="str">
        <f>IF(I10&gt;=100,"TERCAPAI",IF(I10&gt;=90,"WASPADA",IF(I10&gt;=75,"TERLAMBAT","KRITIS")))</f>
        <v>TERLAMBAT</v>
      </c>
      <c r="R10" s="26" t="s">
        <v>142</v>
      </c>
    </row>
    <row r="11" spans="1:18" x14ac:dyDescent="0.25">
      <c r="B11" s="25" t="s">
        <v>85</v>
      </c>
      <c r="C11" s="26" t="s">
        <v>86</v>
      </c>
      <c r="D11" s="15" t="s">
        <v>87</v>
      </c>
      <c r="E11" s="15" t="s">
        <v>141</v>
      </c>
      <c r="F11" s="17">
        <v>6</v>
      </c>
      <c r="G11" s="17">
        <v>3.36</v>
      </c>
      <c r="H11" s="17">
        <f>SUM('INPUT REALISASI'!E12:L12)</f>
        <v>1.69</v>
      </c>
      <c r="I11" s="16">
        <f>IF(G11=0,0,H11/G11*100)</f>
        <v>50.3</v>
      </c>
      <c r="J11" s="16">
        <f>IF(F11=0,0,H11/F11*100)</f>
        <v>28.17</v>
      </c>
      <c r="K11" s="17">
        <f>MAX(F11-H11,0)</f>
        <v>4.31</v>
      </c>
      <c r="L11" s="17">
        <f>K11/4</f>
        <v>1.08</v>
      </c>
      <c r="M11" s="17">
        <f>H11/8</f>
        <v>0.21</v>
      </c>
      <c r="N11" s="17">
        <f>IF(M11=0,"-",L11/M11)</f>
        <v>5.1</v>
      </c>
      <c r="O11" s="18">
        <f>H11*21000.0</f>
        <v>35490</v>
      </c>
      <c r="P11" s="18">
        <f>K11*21000.0</f>
        <v>90510</v>
      </c>
      <c r="Q11" s="30" t="str">
        <f>IF(I11&gt;=100,"TERCAPAI",IF(I11&gt;=90,"WASPADA",IF(I11&gt;=75,"TERLAMBAT","KRITIS")))</f>
        <v>KRITIS</v>
      </c>
      <c r="R11" s="26" t="s">
        <v>142</v>
      </c>
    </row>
    <row r="12" spans="1:18" x14ac:dyDescent="0.25">
      <c r="B12" s="25" t="s">
        <v>88</v>
      </c>
      <c r="C12" s="26" t="s">
        <v>89</v>
      </c>
      <c r="D12" s="15" t="s">
        <v>81</v>
      </c>
      <c r="E12" s="15" t="s">
        <v>141</v>
      </c>
      <c r="F12" s="17">
        <v>8</v>
      </c>
      <c r="G12" s="17">
        <v>4.48</v>
      </c>
      <c r="H12" s="17">
        <f>SUM('INPUT REALISASI'!E13:L13)</f>
        <v>1.98</v>
      </c>
      <c r="I12" s="16">
        <f>IF(G12=0,0,H12/G12*100)</f>
        <v>44.2</v>
      </c>
      <c r="J12" s="16">
        <f>IF(F12=0,0,H12/F12*100)</f>
        <v>24.75</v>
      </c>
      <c r="K12" s="17">
        <f>MAX(F12-H12,0)</f>
        <v>6.02</v>
      </c>
      <c r="L12" s="17">
        <f>K12/4</f>
        <v>1.5</v>
      </c>
      <c r="M12" s="17">
        <f>H12/8</f>
        <v>0.25</v>
      </c>
      <c r="N12" s="17">
        <f>IF(M12=0,"-",L12/M12)</f>
        <v>6.08</v>
      </c>
      <c r="O12" s="18">
        <f>H12*13800.0</f>
        <v>27324</v>
      </c>
      <c r="P12" s="18">
        <f>K12*13800.0</f>
        <v>83076</v>
      </c>
      <c r="Q12" s="30" t="str">
        <f>IF(I12&gt;=100,"TERCAPAI",IF(I12&gt;=90,"WASPADA",IF(I12&gt;=75,"TERLAMBAT","KRITIS")))</f>
        <v>KRITIS</v>
      </c>
      <c r="R12" s="26" t="s">
        <v>142</v>
      </c>
    </row>
    <row r="13" spans="1:18" x14ac:dyDescent="0.25">
      <c r="B13" s="25" t="s">
        <v>90</v>
      </c>
      <c r="C13" s="26" t="s">
        <v>91</v>
      </c>
      <c r="D13" s="15" t="s">
        <v>92</v>
      </c>
      <c r="E13" s="15" t="s">
        <v>141</v>
      </c>
      <c r="F13" s="17">
        <v>620</v>
      </c>
      <c r="G13" s="17">
        <v>413.36</v>
      </c>
      <c r="H13" s="17">
        <f>SUM('INPUT REALISASI'!E14:L14)</f>
        <v>392.67</v>
      </c>
      <c r="I13" s="16">
        <f>IF(G13=0,0,H13/G13*100)</f>
        <v>94.99</v>
      </c>
      <c r="J13" s="16">
        <f>IF(F13=0,0,H13/F13*100)</f>
        <v>63.33</v>
      </c>
      <c r="K13" s="17">
        <f>MAX(F13-H13,0)</f>
        <v>227.33</v>
      </c>
      <c r="L13" s="17">
        <f>K13/4</f>
        <v>56.83</v>
      </c>
      <c r="M13" s="17">
        <f>H13/8</f>
        <v>49.08</v>
      </c>
      <c r="N13" s="17">
        <f>IF(M13=0,"-",L13/M13)</f>
        <v>1.16</v>
      </c>
      <c r="O13" s="18">
        <f>H13*145.0</f>
        <v>56937</v>
      </c>
      <c r="P13" s="18">
        <f>K13*145.0</f>
        <v>32963</v>
      </c>
      <c r="Q13" s="32" t="str">
        <f>IF(I13&gt;=100,"TERCAPAI",IF(I13&gt;=90,"WASPADA",IF(I13&gt;=75,"TERLAMBAT","KRITIS")))</f>
        <v>WASPADA</v>
      </c>
      <c r="R13" s="26" t="s">
        <v>142</v>
      </c>
    </row>
    <row r="14" spans="1:18" x14ac:dyDescent="0.25">
      <c r="B14" s="25" t="s">
        <v>93</v>
      </c>
      <c r="C14" s="26" t="s">
        <v>94</v>
      </c>
      <c r="D14" s="15" t="s">
        <v>81</v>
      </c>
      <c r="E14" s="15" t="s">
        <v>141</v>
      </c>
      <c r="F14" s="17">
        <v>45</v>
      </c>
      <c r="G14" s="17">
        <v>24.3</v>
      </c>
      <c r="H14" s="17">
        <f>SUM('INPUT REALISASI'!E15:L15)</f>
        <v>16.28</v>
      </c>
      <c r="I14" s="16">
        <f>IF(G14=0,0,H14/G14*100)</f>
        <v>67.0</v>
      </c>
      <c r="J14" s="16">
        <f>IF(F14=0,0,H14/F14*100)</f>
        <v>36.18</v>
      </c>
      <c r="K14" s="17">
        <f>MAX(F14-H14,0)</f>
        <v>28.72</v>
      </c>
      <c r="L14" s="17">
        <f>K14/4</f>
        <v>7.18</v>
      </c>
      <c r="M14" s="17">
        <f>H14/8</f>
        <v>2.04</v>
      </c>
      <c r="N14" s="17">
        <f>IF(M14=0,"-",L14/M14)</f>
        <v>3.53</v>
      </c>
      <c r="O14" s="18">
        <f>H14*1350.0</f>
        <v>21978</v>
      </c>
      <c r="P14" s="18">
        <f>K14*1350.0</f>
        <v>38772</v>
      </c>
      <c r="Q14" s="30" t="str">
        <f>IF(I14&gt;=100,"TERCAPAI",IF(I14&gt;=90,"WASPADA",IF(I14&gt;=75,"TERLAMBAT","KRITIS")))</f>
        <v>KRITIS</v>
      </c>
      <c r="R14" s="26" t="s">
        <v>142</v>
      </c>
    </row>
    <row r="15" spans="1:18" x14ac:dyDescent="0.25">
      <c r="B15" s="25" t="s">
        <v>95</v>
      </c>
      <c r="C15" s="26" t="s">
        <v>96</v>
      </c>
      <c r="D15" s="15" t="s">
        <v>75</v>
      </c>
      <c r="E15" s="15" t="s">
        <v>141</v>
      </c>
      <c r="F15" s="17">
        <v>240</v>
      </c>
      <c r="G15" s="17">
        <v>160</v>
      </c>
      <c r="H15" s="17">
        <f>SUM('INPUT REALISASI'!E16:L16)</f>
        <v>163.2</v>
      </c>
      <c r="I15" s="16">
        <f>IF(G15=0,0,H15/G15*100)</f>
        <v>102.0</v>
      </c>
      <c r="J15" s="16">
        <f>IF(F15=0,0,H15/F15*100)</f>
        <v>68.0</v>
      </c>
      <c r="K15" s="17">
        <f>MAX(F15-H15,0)</f>
        <v>76.8</v>
      </c>
      <c r="L15" s="17">
        <f>K15/4</f>
        <v>19.2</v>
      </c>
      <c r="M15" s="17">
        <f>H15/8</f>
        <v>20.4</v>
      </c>
      <c r="N15" s="17">
        <f>IF(M15=0,"-",L15/M15)</f>
        <v>0.94</v>
      </c>
      <c r="O15" s="18">
        <f>H15*310.0</f>
        <v>50592</v>
      </c>
      <c r="P15" s="18">
        <f>K15*310.0</f>
        <v>23808</v>
      </c>
      <c r="Q15" s="29" t="str">
        <f>IF(I15&gt;=100,"TERCAPAI",IF(I15&gt;=90,"WASPADA",IF(I15&gt;=75,"TERLAMBAT","KRITIS")))</f>
        <v>TERCAPAI</v>
      </c>
      <c r="R15" s="26" t="s">
        <v>142</v>
      </c>
    </row>
    <row r="16" spans="1:18" x14ac:dyDescent="0.25">
      <c r="B16" s="25" t="s">
        <v>97</v>
      </c>
      <c r="C16" s="26" t="s">
        <v>98</v>
      </c>
      <c r="D16" s="15" t="s">
        <v>78</v>
      </c>
      <c r="E16" s="15" t="s">
        <v>141</v>
      </c>
      <c r="F16" s="17">
        <v>9.800000000000001</v>
      </c>
      <c r="G16" s="17">
        <v>5.5</v>
      </c>
      <c r="H16" s="17">
        <f>SUM('INPUT REALISASI'!E17:L17)</f>
        <v>1.96</v>
      </c>
      <c r="I16" s="16">
        <f>IF(G16=0,0,H16/G16*100)</f>
        <v>35.64</v>
      </c>
      <c r="J16" s="16">
        <f>IF(F16=0,0,H16/F16*100)</f>
        <v>20.0</v>
      </c>
      <c r="K16" s="17">
        <f>MAX(F16-H16,0)</f>
        <v>7.84</v>
      </c>
      <c r="L16" s="17">
        <f>K16/4</f>
        <v>1.96</v>
      </c>
      <c r="M16" s="17">
        <f>H16/8</f>
        <v>0.24</v>
      </c>
      <c r="N16" s="17">
        <f>IF(M16=0,"-",L16/M16)</f>
        <v>8.0</v>
      </c>
      <c r="O16" s="18">
        <f>H16*8900.0</f>
        <v>17444</v>
      </c>
      <c r="P16" s="18">
        <f>K16*8900.0</f>
        <v>69776</v>
      </c>
      <c r="Q16" s="30" t="str">
        <f>IF(I16&gt;=100,"TERCAPAI",IF(I16&gt;=90,"WASPADA",IF(I16&gt;=75,"TERLAMBAT","KRITIS")))</f>
        <v>KRITIS</v>
      </c>
      <c r="R16" s="26" t="s">
        <v>142</v>
      </c>
    </row>
    <row r="17" spans="2:18" x14ac:dyDescent="0.25">
      <c r="B17" s="28" t="s">
        <v>99</v>
      </c>
      <c r="C17" s="26" t="s">
        <v>100</v>
      </c>
      <c r="D17" s="15" t="s">
        <v>84</v>
      </c>
      <c r="E17" s="15" t="s">
        <v>143</v>
      </c>
      <c r="F17" s="17">
        <v>3600</v>
      </c>
      <c r="G17" s="17">
        <v>2400</v>
      </c>
      <c r="H17" s="17">
        <f>SUM('INPUT REALISASI'!E18:L18)</f>
        <v>2207.98</v>
      </c>
      <c r="I17" s="16">
        <f>IF(G17=0,0,H17/G17*100)</f>
        <v>92.0</v>
      </c>
      <c r="J17" s="16">
        <f>IF(F17=0,0,H17/F17*100)</f>
        <v>61.33</v>
      </c>
      <c r="K17" s="17">
        <f>MAX(F17-H17,0)</f>
        <v>1392.02</v>
      </c>
      <c r="L17" s="17">
        <f>K17/4</f>
        <v>348.0</v>
      </c>
      <c r="M17" s="17">
        <f>H17/8</f>
        <v>276.0</v>
      </c>
      <c r="N17" s="17">
        <f>IF(M17=0,"-",L17/M17)</f>
        <v>1.26</v>
      </c>
      <c r="O17" s="18">
        <f>H17*0.0</f>
        <v>0</v>
      </c>
      <c r="P17" s="18">
        <f>K17*0.0</f>
        <v>0</v>
      </c>
      <c r="Q17" s="32" t="str">
        <f>IF(I17&gt;=100,"TERCAPAI",IF(I17&gt;=90,"WASPADA",IF(I17&gt;=75,"TERLAMBAT","KRITIS")))</f>
        <v>WASPADA</v>
      </c>
      <c r="R17" s="26" t="s">
        <v>144</v>
      </c>
    </row>
    <row r="18" spans="2:18" x14ac:dyDescent="0.25">
      <c r="B18" s="28" t="s">
        <v>101</v>
      </c>
      <c r="C18" s="26" t="s">
        <v>102</v>
      </c>
      <c r="D18" s="15" t="s">
        <v>103</v>
      </c>
      <c r="E18" s="15" t="s">
        <v>143</v>
      </c>
      <c r="F18" s="17">
        <v>1150000</v>
      </c>
      <c r="G18" s="17">
        <v>766666.64</v>
      </c>
      <c r="H18" s="17">
        <f>SUM('INPUT REALISASI'!E19:L19)</f>
        <v>674666.67</v>
      </c>
      <c r="I18" s="16">
        <f>IF(G18=0,0,H18/G18*100)</f>
        <v>88.0</v>
      </c>
      <c r="J18" s="16">
        <f>IF(F18=0,0,H18/F18*100)</f>
        <v>58.67</v>
      </c>
      <c r="K18" s="17">
        <f>MAX(F18-H18,0)</f>
        <v>475333.33</v>
      </c>
      <c r="L18" s="17">
        <f>K18/4</f>
        <v>118833.33</v>
      </c>
      <c r="M18" s="17">
        <f>H18/8</f>
        <v>84333.33</v>
      </c>
      <c r="N18" s="17">
        <f>IF(M18=0,"-",L18/M18)</f>
        <v>1.41</v>
      </c>
      <c r="O18" s="18">
        <f>H18*1.0</f>
        <v>674667</v>
      </c>
      <c r="P18" s="18">
        <f>K18*1.0</f>
        <v>475333</v>
      </c>
      <c r="Q18" s="31" t="str">
        <f>IF(I18&gt;=100,"TERCAPAI",IF(I18&gt;=90,"WASPADA",IF(I18&gt;=75,"TERLAMBAT","KRITIS")))</f>
        <v>TERLAMBAT</v>
      </c>
      <c r="R18" s="26" t="s">
        <v>144</v>
      </c>
    </row>
    <row r="19" spans="2:18" x14ac:dyDescent="0.25">
      <c r="B19" s="28" t="s">
        <v>104</v>
      </c>
      <c r="C19" s="26" t="s">
        <v>105</v>
      </c>
      <c r="D19" s="15" t="s">
        <v>106</v>
      </c>
      <c r="E19" s="15" t="s">
        <v>143</v>
      </c>
      <c r="F19" s="17">
        <v>3400</v>
      </c>
      <c r="G19" s="17">
        <v>2266.64</v>
      </c>
      <c r="H19" s="17">
        <f>SUM('INPUT REALISASI'!E20:L20)</f>
        <v>1677.32</v>
      </c>
      <c r="I19" s="16">
        <f>IF(G19=0,0,H19/G19*100)</f>
        <v>74.0</v>
      </c>
      <c r="J19" s="16">
        <f>IF(F19=0,0,H19/F19*100)</f>
        <v>49.33</v>
      </c>
      <c r="K19" s="17">
        <f>MAX(F19-H19,0)</f>
        <v>1722.68</v>
      </c>
      <c r="L19" s="17">
        <f>K19/4</f>
        <v>430.67</v>
      </c>
      <c r="M19" s="17">
        <f>H19/8</f>
        <v>209.67</v>
      </c>
      <c r="N19" s="17">
        <f>IF(M19=0,"-",L19/M19)</f>
        <v>2.05</v>
      </c>
      <c r="O19" s="18">
        <f>H19*0.0</f>
        <v>0</v>
      </c>
      <c r="P19" s="18">
        <f>K19*0.0</f>
        <v>0</v>
      </c>
      <c r="Q19" s="30" t="str">
        <f>IF(I19&gt;=100,"TERCAPAI",IF(I19&gt;=90,"WASPADA",IF(I19&gt;=75,"TERLAMBAT","KRITIS")))</f>
        <v>KRITIS</v>
      </c>
      <c r="R19" s="26" t="s">
        <v>144</v>
      </c>
    </row>
    <row r="20" spans="2:18" x14ac:dyDescent="0.25">
      <c r="B20" s="28" t="s">
        <v>107</v>
      </c>
      <c r="C20" s="26" t="s">
        <v>108</v>
      </c>
      <c r="D20" s="15" t="s">
        <v>81</v>
      </c>
      <c r="E20" s="15" t="s">
        <v>143</v>
      </c>
      <c r="F20" s="17">
        <v>2750</v>
      </c>
      <c r="G20" s="17">
        <v>1833.36</v>
      </c>
      <c r="H20" s="17">
        <f>SUM('INPUT REALISASI'!E21:L21)</f>
        <v>1576.67</v>
      </c>
      <c r="I20" s="16">
        <f>IF(G20=0,0,H20/G20*100)</f>
        <v>86.0</v>
      </c>
      <c r="J20" s="16">
        <f>IF(F20=0,0,H20/F20*100)</f>
        <v>57.33</v>
      </c>
      <c r="K20" s="17">
        <f>MAX(F20-H20,0)</f>
        <v>1173.33</v>
      </c>
      <c r="L20" s="17">
        <f>K20/4</f>
        <v>293.33</v>
      </c>
      <c r="M20" s="17">
        <f>H20/8</f>
        <v>197.08</v>
      </c>
      <c r="N20" s="17">
        <f>IF(M20=0,"-",L20/M20)</f>
        <v>1.49</v>
      </c>
      <c r="O20" s="18">
        <f>H20*96.0</f>
        <v>151360</v>
      </c>
      <c r="P20" s="18">
        <f>K20*96.0</f>
        <v>112640</v>
      </c>
      <c r="Q20" s="31" t="str">
        <f>IF(I20&gt;=100,"TERCAPAI",IF(I20&gt;=90,"WASPADA",IF(I20&gt;=75,"TERLAMBAT","KRITIS")))</f>
        <v>TERLAMBAT</v>
      </c>
      <c r="R20" s="26" t="s">
        <v>144</v>
      </c>
    </row>
    <row r="21" spans="2:18" x14ac:dyDescent="0.25">
      <c r="B21" s="28" t="s">
        <v>109</v>
      </c>
      <c r="C21" s="26" t="s">
        <v>110</v>
      </c>
      <c r="D21" s="15" t="s">
        <v>81</v>
      </c>
      <c r="E21" s="15" t="s">
        <v>143</v>
      </c>
      <c r="F21" s="17">
        <v>1900</v>
      </c>
      <c r="G21" s="17">
        <v>1026</v>
      </c>
      <c r="H21" s="17">
        <f>SUM('INPUT REALISASI'!E22:L22)</f>
        <v>646.37</v>
      </c>
      <c r="I21" s="16">
        <f>IF(G21=0,0,H21/G21*100)</f>
        <v>63.0</v>
      </c>
      <c r="J21" s="16">
        <f>IF(F21=0,0,H21/F21*100)</f>
        <v>34.02</v>
      </c>
      <c r="K21" s="17">
        <f>MAX(F21-H21,0)</f>
        <v>1253.63</v>
      </c>
      <c r="L21" s="17">
        <f>K21/4</f>
        <v>313.41</v>
      </c>
      <c r="M21" s="17">
        <f>H21/8</f>
        <v>80.8</v>
      </c>
      <c r="N21" s="17">
        <f>IF(M21=0,"-",L21/M21)</f>
        <v>3.88</v>
      </c>
      <c r="O21" s="18">
        <f>H21*71.0</f>
        <v>45892</v>
      </c>
      <c r="P21" s="18">
        <f>K21*71.0</f>
        <v>89008</v>
      </c>
      <c r="Q21" s="30" t="str">
        <f>IF(I21&gt;=100,"TERCAPAI",IF(I21&gt;=90,"WASPADA",IF(I21&gt;=75,"TERLAMBAT","KRITIS")))</f>
        <v>KRITIS</v>
      </c>
      <c r="R21" s="26" t="s">
        <v>144</v>
      </c>
    </row>
    <row r="22" spans="2:18" x14ac:dyDescent="0.25">
      <c r="B22" s="28" t="s">
        <v>111</v>
      </c>
      <c r="C22" s="26" t="s">
        <v>112</v>
      </c>
      <c r="D22" s="15" t="s">
        <v>84</v>
      </c>
      <c r="E22" s="15" t="s">
        <v>143</v>
      </c>
      <c r="F22" s="17">
        <v>168</v>
      </c>
      <c r="G22" s="17">
        <v>112</v>
      </c>
      <c r="H22" s="17">
        <f>SUM('INPUT REALISASI'!E23:L23)</f>
        <v>88.48</v>
      </c>
      <c r="I22" s="16">
        <f>IF(G22=0,0,H22/G22*100)</f>
        <v>79.0</v>
      </c>
      <c r="J22" s="16">
        <f>IF(F22=0,0,H22/F22*100)</f>
        <v>52.67</v>
      </c>
      <c r="K22" s="17">
        <f>MAX(F22-H22,0)</f>
        <v>79.52</v>
      </c>
      <c r="L22" s="17">
        <f>K22/4</f>
        <v>19.88</v>
      </c>
      <c r="M22" s="17">
        <f>H22/8</f>
        <v>11.06</v>
      </c>
      <c r="N22" s="17">
        <f>IF(M22=0,"-",L22/M22)</f>
        <v>1.8</v>
      </c>
      <c r="O22" s="18">
        <f>H22*1480.0</f>
        <v>130950</v>
      </c>
      <c r="P22" s="18">
        <f>K22*1480.0</f>
        <v>117690</v>
      </c>
      <c r="Q22" s="31" t="str">
        <f>IF(I22&gt;=100,"TERCAPAI",IF(I22&gt;=90,"WASPADA",IF(I22&gt;=75,"TERLAMBAT","KRITIS")))</f>
        <v>TERLAMBAT</v>
      </c>
      <c r="R22" s="26" t="s">
        <v>144</v>
      </c>
    </row>
    <row r="23" spans="2:18" x14ac:dyDescent="0.25">
      <c r="B23" s="28" t="s">
        <v>113</v>
      </c>
      <c r="C23" s="26" t="s">
        <v>114</v>
      </c>
      <c r="D23" s="15" t="s">
        <v>84</v>
      </c>
      <c r="E23" s="15" t="s">
        <v>143</v>
      </c>
      <c r="F23" s="17">
        <v>2400</v>
      </c>
      <c r="G23" s="17">
        <v>1600</v>
      </c>
      <c r="H23" s="17">
        <f>SUM('INPUT REALISASI'!E24:L24)</f>
        <v>1104.01</v>
      </c>
      <c r="I23" s="16">
        <f>IF(G23=0,0,H23/G23*100)</f>
        <v>69.0</v>
      </c>
      <c r="J23" s="16">
        <f>IF(F23=0,0,H23/F23*100)</f>
        <v>46.0</v>
      </c>
      <c r="K23" s="17">
        <f>MAX(F23-H23,0)</f>
        <v>1295.99</v>
      </c>
      <c r="L23" s="17">
        <f>K23/4</f>
        <v>324.0</v>
      </c>
      <c r="M23" s="17">
        <f>H23/8</f>
        <v>138.0</v>
      </c>
      <c r="N23" s="17">
        <f>IF(M23=0,"-",L23/M23)</f>
        <v>2.35</v>
      </c>
      <c r="O23" s="18">
        <f>H23*58.0</f>
        <v>64033</v>
      </c>
      <c r="P23" s="18">
        <f>K23*58.0</f>
        <v>75167</v>
      </c>
      <c r="Q23" s="30" t="str">
        <f>IF(I23&gt;=100,"TERCAPAI",IF(I23&gt;=90,"WASPADA",IF(I23&gt;=75,"TERLAMBAT","KRITIS")))</f>
        <v>KRITIS</v>
      </c>
      <c r="R23" s="26" t="s">
        <v>144</v>
      </c>
    </row>
    <row r="24" spans="2:18" x14ac:dyDescent="0.25">
      <c r="B24" s="28" t="s">
        <v>115</v>
      </c>
      <c r="C24" s="26" t="s">
        <v>116</v>
      </c>
      <c r="D24" s="15" t="s">
        <v>117</v>
      </c>
      <c r="E24" s="15" t="s">
        <v>143</v>
      </c>
      <c r="F24" s="17">
        <v>4200</v>
      </c>
      <c r="G24" s="17">
        <v>2800</v>
      </c>
      <c r="H24" s="17">
        <f>SUM('INPUT REALISASI'!E25:L25)</f>
        <v>2268.01</v>
      </c>
      <c r="I24" s="16">
        <f>IF(G24=0,0,H24/G24*100)</f>
        <v>81.0</v>
      </c>
      <c r="J24" s="16">
        <f>IF(F24=0,0,H24/F24*100)</f>
        <v>54.0</v>
      </c>
      <c r="K24" s="17">
        <f>MAX(F24-H24,0)</f>
        <v>1931.99</v>
      </c>
      <c r="L24" s="17">
        <f>K24/4</f>
        <v>483.0</v>
      </c>
      <c r="M24" s="17">
        <f>H24/8</f>
        <v>283.5</v>
      </c>
      <c r="N24" s="17">
        <f>IF(M24=0,"-",L24/M24)</f>
        <v>1.7</v>
      </c>
      <c r="O24" s="18">
        <f>H24*44.0</f>
        <v>99792</v>
      </c>
      <c r="P24" s="18">
        <f>K24*44.0</f>
        <v>85008</v>
      </c>
      <c r="Q24" s="31" t="str">
        <f>IF(I24&gt;=100,"TERCAPAI",IF(I24&gt;=90,"WASPADA",IF(I24&gt;=75,"TERLAMBAT","KRITIS")))</f>
        <v>TERLAMBAT</v>
      </c>
      <c r="R24" s="26" t="s">
        <v>145</v>
      </c>
    </row>
    <row r="25" spans="2:18" x14ac:dyDescent="0.25">
      <c r="B25" s="28" t="s">
        <v>118</v>
      </c>
      <c r="C25" s="26" t="s">
        <v>119</v>
      </c>
      <c r="D25" s="15" t="s">
        <v>92</v>
      </c>
      <c r="E25" s="15" t="s">
        <v>143</v>
      </c>
      <c r="F25" s="17">
        <v>320</v>
      </c>
      <c r="G25" s="17">
        <v>172.8</v>
      </c>
      <c r="H25" s="17">
        <f>SUM('INPUT REALISASI'!E26:L26)</f>
        <v>95.03</v>
      </c>
      <c r="I25" s="16">
        <f>IF(G25=0,0,H25/G25*100)</f>
        <v>54.99</v>
      </c>
      <c r="J25" s="16">
        <f>IF(F25=0,0,H25/F25*100)</f>
        <v>29.7</v>
      </c>
      <c r="K25" s="17">
        <f>MAX(F25-H25,0)</f>
        <v>224.97</v>
      </c>
      <c r="L25" s="17">
        <f>K25/4</f>
        <v>56.24</v>
      </c>
      <c r="M25" s="17">
        <f>H25/8</f>
        <v>11.88</v>
      </c>
      <c r="N25" s="17">
        <f>IF(M25=0,"-",L25/M25)</f>
        <v>4.73</v>
      </c>
      <c r="O25" s="18">
        <f>H25*640.0</f>
        <v>60819</v>
      </c>
      <c r="P25" s="18">
        <f>K25*640.0</f>
        <v>143981</v>
      </c>
      <c r="Q25" s="30" t="str">
        <f>IF(I25&gt;=100,"TERCAPAI",IF(I25&gt;=90,"WASPADA",IF(I25&gt;=75,"TERLAMBAT","KRITIS")))</f>
        <v>KRITIS</v>
      </c>
      <c r="R25" s="26" t="s">
        <v>144</v>
      </c>
    </row>
    <row r="26" spans="2:18" x14ac:dyDescent="0.25">
      <c r="B26" s="28" t="s">
        <v>120</v>
      </c>
      <c r="C26" s="26" t="s">
        <v>121</v>
      </c>
      <c r="D26" s="15" t="s">
        <v>84</v>
      </c>
      <c r="E26" s="15" t="s">
        <v>143</v>
      </c>
      <c r="F26" s="17">
        <v>1100</v>
      </c>
      <c r="G26" s="17">
        <v>733.36</v>
      </c>
      <c r="H26" s="17">
        <f>SUM('INPUT REALISASI'!E27:L27)</f>
        <v>689.34</v>
      </c>
      <c r="I26" s="16">
        <f>IF(G26=0,0,H26/G26*100)</f>
        <v>94.0</v>
      </c>
      <c r="J26" s="16">
        <f>IF(F26=0,0,H26/F26*100)</f>
        <v>62.67</v>
      </c>
      <c r="K26" s="17">
        <f>MAX(F26-H26,0)</f>
        <v>410.66</v>
      </c>
      <c r="L26" s="17">
        <f>K26/4</f>
        <v>102.66</v>
      </c>
      <c r="M26" s="17">
        <f>H26/8</f>
        <v>86.17</v>
      </c>
      <c r="N26" s="17">
        <f>IF(M26=0,"-",L26/M26)</f>
        <v>1.19</v>
      </c>
      <c r="O26" s="18">
        <f>H26*118.0</f>
        <v>81342</v>
      </c>
      <c r="P26" s="18">
        <f>K26*118.0</f>
        <v>48458</v>
      </c>
      <c r="Q26" s="32" t="str">
        <f>IF(I26&gt;=100,"TERCAPAI",IF(I26&gt;=90,"WASPADA",IF(I26&gt;=75,"TERLAMBAT","KRITIS")))</f>
        <v>WASPADA</v>
      </c>
      <c r="R26" s="26" t="s">
        <v>145</v>
      </c>
    </row>
    <row r="27" spans="2:18" x14ac:dyDescent="0.25">
      <c r="B27" s="28" t="s">
        <v>122</v>
      </c>
      <c r="C27" s="26" t="s">
        <v>123</v>
      </c>
      <c r="D27" s="15" t="s">
        <v>117</v>
      </c>
      <c r="E27" s="15" t="s">
        <v>143</v>
      </c>
      <c r="F27" s="17">
        <v>12000</v>
      </c>
      <c r="G27" s="17">
        <v>8000</v>
      </c>
      <c r="H27" s="17">
        <f>SUM('INPUT REALISASI'!E28:L28)</f>
        <v>7760.01</v>
      </c>
      <c r="I27" s="16">
        <f>IF(G27=0,0,H27/G27*100)</f>
        <v>97.0</v>
      </c>
      <c r="J27" s="16">
        <f>IF(F27=0,0,H27/F27*100)</f>
        <v>64.67</v>
      </c>
      <c r="K27" s="17">
        <f>MAX(F27-H27,0)</f>
        <v>4239.99</v>
      </c>
      <c r="L27" s="17">
        <f>K27/4</f>
        <v>1060.0</v>
      </c>
      <c r="M27" s="17">
        <f>H27/8</f>
        <v>970.0</v>
      </c>
      <c r="N27" s="17">
        <f>IF(M27=0,"-",L27/M27)</f>
        <v>1.09</v>
      </c>
      <c r="O27" s="18">
        <f>H27*12.0</f>
        <v>93120</v>
      </c>
      <c r="P27" s="18">
        <f>K27*12.0</f>
        <v>50880</v>
      </c>
      <c r="Q27" s="32" t="str">
        <f>IF(I27&gt;=100,"TERCAPAI",IF(I27&gt;=90,"WASPADA",IF(I27&gt;=75,"TERLAMBAT","KRITIS")))</f>
        <v>WASPADA</v>
      </c>
      <c r="R27" s="26" t="s">
        <v>145</v>
      </c>
    </row>
    <row r="28" spans="2:18" x14ac:dyDescent="0.25">
      <c r="B28" s="28" t="s">
        <v>124</v>
      </c>
      <c r="C28" s="26" t="s">
        <v>125</v>
      </c>
      <c r="D28" s="15" t="s">
        <v>92</v>
      </c>
      <c r="E28" s="15" t="s">
        <v>143</v>
      </c>
      <c r="F28" s="17">
        <v>210</v>
      </c>
      <c r="G28" s="17">
        <v>140</v>
      </c>
      <c r="H28" s="17">
        <f>SUM('INPUT REALISASI'!E29:L29)</f>
        <v>85.4</v>
      </c>
      <c r="I28" s="16">
        <f>IF(G28=0,0,H28/G28*100)</f>
        <v>61.0</v>
      </c>
      <c r="J28" s="16">
        <f>IF(F28=0,0,H28/F28*100)</f>
        <v>40.67</v>
      </c>
      <c r="K28" s="17">
        <f>MAX(F28-H28,0)</f>
        <v>124.6</v>
      </c>
      <c r="L28" s="17">
        <f>K28/4</f>
        <v>31.15</v>
      </c>
      <c r="M28" s="17">
        <f>H28/8</f>
        <v>10.68</v>
      </c>
      <c r="N28" s="17">
        <f>IF(M28=0,"-",L28/M28)</f>
        <v>2.92</v>
      </c>
      <c r="O28" s="18">
        <f>H28*890.0</f>
        <v>76006</v>
      </c>
      <c r="P28" s="18">
        <f>K28*890.0</f>
        <v>110894</v>
      </c>
      <c r="Q28" s="30" t="str">
        <f>IF(I28&gt;=100,"TERCAPAI",IF(I28&gt;=90,"WASPADA",IF(I28&gt;=75,"TERLAMBAT","KRITIS")))</f>
        <v>KRITIS</v>
      </c>
      <c r="R28" s="26" t="s">
        <v>144</v>
      </c>
    </row>
    <row r="29" spans="2:18" x14ac:dyDescent="0.25">
      <c r="B29" s="20"/>
      <c r="C29" s="20" t="s">
        <v>146</v>
      </c>
      <c r="D29" s="20"/>
      <c r="E29" s="20"/>
      <c r="F29" s="22"/>
      <c r="G29" s="22"/>
      <c r="H29" s="22"/>
      <c r="I29" s="21">
        <f>AVERAGE(I7:I28)</f>
        <v>0</v>
      </c>
      <c r="J29" s="21">
        <f>AVERAGE(J7:J28)</f>
        <v>0</v>
      </c>
      <c r="K29" s="22"/>
      <c r="L29" s="22"/>
      <c r="M29" s="22"/>
      <c r="N29" s="22"/>
      <c r="O29" s="22">
        <f>SUM(O7:O28)</f>
        <v>0</v>
      </c>
      <c r="P29" s="22">
        <f>SUM(P7:P28)</f>
        <v>0</v>
      </c>
      <c r="Q29" s="22"/>
      <c r="R29" s="22"/>
    </row>
    <row r="31" spans="2:18" x14ac:dyDescent="0.25">
      <c r="C31" s="12" t="s">
        <v>147</v>
      </c>
    </row>
  </sheetData>
  <autoFilter ref="B6:R28"/>
  <mergeCells count="3">
    <mergeCell ref="A2:M2"/>
    <mergeCell ref="A3:M3"/>
    <mergeCell ref="N2:Q3"/>
  </mergeCells>
  <conditionalFormatting sqref="I7:I28">
    <cfRule type="colorScale" priority="5">
      <colorScale>
        <cfvo type="num" val="40"/>
        <cfvo type="num" val="85"/>
        <cfvo type="num" val="110"/>
        <color rgb="FFFEE2E2"/>
        <color rgb="FFFEF3C7"/>
        <color rgb="FFDCFCE7"/>
      </colorScale>
    </cfRule>
  </conditionalFormatting>
  <conditionalFormatting sqref="N7:N28">
    <cfRule type="cellIs" dxfId="6" priority="6" operator="greaterThanOrEqual">
      <formula>2</formula>
    </cfRule>
  </conditionalFormatting>
  <conditionalFormatting sqref="P7:P28">
    <cfRule type="dataBar" priority="7">
      <dataBar>
        <cfvo type="min"/>
        <cfvo type="max"/>
        <color rgb="FFEA731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Q7:Q28">
    <cfRule type="cellIs" dxfId="2" priority="1" operator="equal">
      <formula>"TERCAPAI"</formula>
    </cfRule>
    <cfRule type="cellIs" dxfId="3" priority="2" operator="equal">
      <formula>"WASPADA"</formula>
    </cfRule>
    <cfRule type="cellIs" dxfId="4" priority="3" operator="equal">
      <formula>"TERLAMBAT"</formula>
    </cfRule>
    <cfRule type="cellIs" dxfId="5" priority="4" operator="equal">
      <formula>"KRITIS"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A7317"/>
              <x14:negativeFillColor rgb="FFFF0000"/>
              <x14:negativeBorderColor rgb="FFFF0000"/>
              <x14:axisColor rgb="FF000000"/>
            </x14:dataBar>
          </x14:cfRule>
          <xm:sqref>P7:P28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A5D9"/>
  </sheetPr>
  <dimension ref="A1:O52"/>
  <sheetViews>
    <sheetView showGridLine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.7109375" customWidth="1"/>
    <col min="2" max="2" width="11.7109375" customWidth="1"/>
    <col min="3" max="3" width="20.7109375" customWidth="1"/>
    <col min="4" max="15" width="12.28515625" customWidth="1"/>
  </cols>
  <sheetData>
    <row r="1" spans="1:15" ht="8" customHeight="1" x14ac:dyDescent="0.25"/>
    <row r="2" spans="1:15" ht="30" customHeight="1" x14ac:dyDescent="0.25">
      <c r="A2" s="1" t="s">
        <v>148</v>
      </c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2</v>
      </c>
      <c r="M2" s="2"/>
      <c r="N2" s="2"/>
      <c r="O2" s="2"/>
    </row>
    <row r="3" spans="1:15" ht="18" customHeight="1" x14ac:dyDescent="0.25">
      <c r="A3" s="3" t="s">
        <v>149</v>
      </c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2"/>
      <c r="N3" s="2"/>
      <c r="O3" s="2"/>
    </row>
    <row r="4" spans="1:15" ht="8" customHeight="1" x14ac:dyDescent="0.25"/>
    <row r="6" spans="1:15" ht="32" customHeight="1" x14ac:dyDescent="0.25">
      <c r="B6" s="13" t="s">
        <v>68</v>
      </c>
      <c r="C6" s="24" t="s">
        <v>150</v>
      </c>
      <c r="D6" s="13" t="s">
        <v>151</v>
      </c>
      <c r="E6" s="13" t="s">
        <v>152</v>
      </c>
      <c r="F6" s="13" t="s">
        <v>153</v>
      </c>
      <c r="G6" s="13" t="s">
        <v>154</v>
      </c>
      <c r="H6" s="13" t="s">
        <v>155</v>
      </c>
      <c r="I6" s="13" t="s">
        <v>39</v>
      </c>
      <c r="J6" s="13" t="s">
        <v>156</v>
      </c>
      <c r="K6" s="13" t="s">
        <v>157</v>
      </c>
      <c r="L6" s="13" t="s">
        <v>158</v>
      </c>
      <c r="M6" s="13" t="s">
        <v>159</v>
      </c>
      <c r="N6" s="13" t="s">
        <v>160</v>
      </c>
      <c r="O6" s="13" t="s">
        <v>161</v>
      </c>
    </row>
    <row r="7" spans="1:15" x14ac:dyDescent="0.25">
      <c r="B7" s="14" t="s">
        <v>162</v>
      </c>
      <c r="C7" s="26" t="s">
        <v>163</v>
      </c>
      <c r="D7" s="18">
        <v>78</v>
      </c>
      <c r="E7" s="18">
        <v>8940</v>
      </c>
      <c r="F7" s="18">
        <v>8450</v>
      </c>
      <c r="G7" s="33">
        <v>61.2</v>
      </c>
      <c r="H7" s="33">
        <v>96.40000000000001</v>
      </c>
      <c r="I7" s="16">
        <v>7.94</v>
      </c>
      <c r="J7" s="34">
        <v>21.4</v>
      </c>
      <c r="K7" s="17">
        <v>0.86</v>
      </c>
      <c r="L7" s="34">
        <v>6.8</v>
      </c>
      <c r="M7" s="18">
        <v>412</v>
      </c>
      <c r="N7" s="33">
        <v>88.8</v>
      </c>
      <c r="O7" s="30" t="s">
        <v>164</v>
      </c>
    </row>
    <row r="8" spans="1:15" x14ac:dyDescent="0.25">
      <c r="B8" s="14" t="s">
        <v>165</v>
      </c>
      <c r="C8" s="26" t="s">
        <v>166</v>
      </c>
      <c r="D8" s="18">
        <v>71</v>
      </c>
      <c r="E8" s="18">
        <v>8120</v>
      </c>
      <c r="F8" s="18">
        <v>7900</v>
      </c>
      <c r="G8" s="33">
        <v>74.8</v>
      </c>
      <c r="H8" s="33">
        <v>103.7</v>
      </c>
      <c r="I8" s="16">
        <v>7.41</v>
      </c>
      <c r="J8" s="34">
        <v>18.9</v>
      </c>
      <c r="K8" s="17">
        <v>0.88</v>
      </c>
      <c r="L8" s="34">
        <v>7.4</v>
      </c>
      <c r="M8" s="18">
        <v>388</v>
      </c>
      <c r="N8" s="33">
        <v>81.5</v>
      </c>
      <c r="O8" s="30" t="s">
        <v>164</v>
      </c>
    </row>
    <row r="9" spans="1:15" x14ac:dyDescent="0.25">
      <c r="B9" s="14" t="s">
        <v>167</v>
      </c>
      <c r="C9" s="26" t="s">
        <v>168</v>
      </c>
      <c r="D9" s="18">
        <v>64</v>
      </c>
      <c r="E9" s="18">
        <v>7365</v>
      </c>
      <c r="F9" s="18">
        <v>7250</v>
      </c>
      <c r="G9" s="33">
        <v>58.6</v>
      </c>
      <c r="H9" s="33">
        <v>88.2</v>
      </c>
      <c r="I9" s="16">
        <v>6.88</v>
      </c>
      <c r="J9" s="34">
        <v>16.2</v>
      </c>
      <c r="K9" s="17">
        <v>0.89</v>
      </c>
      <c r="L9" s="34">
        <v>5.9</v>
      </c>
      <c r="M9" s="18">
        <v>301</v>
      </c>
      <c r="N9" s="33">
        <v>71.7</v>
      </c>
      <c r="O9" s="30" t="s">
        <v>164</v>
      </c>
    </row>
    <row r="10" spans="1:15" x14ac:dyDescent="0.25">
      <c r="B10" s="14" t="s">
        <v>169</v>
      </c>
      <c r="C10" s="26" t="s">
        <v>170</v>
      </c>
      <c r="D10" s="18">
        <v>55</v>
      </c>
      <c r="E10" s="18">
        <v>6042</v>
      </c>
      <c r="F10" s="18">
        <v>6100</v>
      </c>
      <c r="G10" s="33">
        <v>69.40000000000001</v>
      </c>
      <c r="H10" s="33">
        <v>81.5</v>
      </c>
      <c r="I10" s="16">
        <v>6.42</v>
      </c>
      <c r="J10" s="34">
        <v>14.8</v>
      </c>
      <c r="K10" s="17">
        <v>0.9</v>
      </c>
      <c r="L10" s="34">
        <v>6.2</v>
      </c>
      <c r="M10" s="18">
        <v>254</v>
      </c>
      <c r="N10" s="33">
        <v>66.90000000000001</v>
      </c>
      <c r="O10" s="31" t="s">
        <v>171</v>
      </c>
    </row>
    <row r="11" spans="1:15" x14ac:dyDescent="0.25">
      <c r="B11" s="14" t="s">
        <v>172</v>
      </c>
      <c r="C11" s="26" t="s">
        <v>173</v>
      </c>
      <c r="D11" s="18">
        <v>61</v>
      </c>
      <c r="E11" s="18">
        <v>6580</v>
      </c>
      <c r="F11" s="18">
        <v>6800</v>
      </c>
      <c r="G11" s="33">
        <v>52.1</v>
      </c>
      <c r="H11" s="33">
        <v>79.8</v>
      </c>
      <c r="I11" s="16">
        <v>5.97</v>
      </c>
      <c r="J11" s="34">
        <v>13.1</v>
      </c>
      <c r="K11" s="17">
        <v>0.91</v>
      </c>
      <c r="L11" s="34">
        <v>5.1</v>
      </c>
      <c r="M11" s="18">
        <v>226</v>
      </c>
      <c r="N11" s="33">
        <v>59.2</v>
      </c>
      <c r="O11" s="31" t="s">
        <v>171</v>
      </c>
    </row>
    <row r="12" spans="1:15" x14ac:dyDescent="0.25">
      <c r="B12" s="14" t="s">
        <v>174</v>
      </c>
      <c r="C12" s="26" t="s">
        <v>175</v>
      </c>
      <c r="D12" s="18">
        <v>49</v>
      </c>
      <c r="E12" s="18">
        <v>5318</v>
      </c>
      <c r="F12" s="18">
        <v>5450</v>
      </c>
      <c r="G12" s="33">
        <v>63.9</v>
      </c>
      <c r="H12" s="33">
        <v>76.3</v>
      </c>
      <c r="I12" s="16">
        <v>5.63</v>
      </c>
      <c r="J12" s="34">
        <v>12.4</v>
      </c>
      <c r="K12" s="17">
        <v>0.92</v>
      </c>
      <c r="L12" s="34">
        <v>5.6</v>
      </c>
      <c r="M12" s="18">
        <v>198</v>
      </c>
      <c r="N12" s="33">
        <v>56</v>
      </c>
      <c r="O12" s="31" t="s">
        <v>171</v>
      </c>
    </row>
    <row r="13" spans="1:15" x14ac:dyDescent="0.25">
      <c r="B13" s="14" t="s">
        <v>176</v>
      </c>
      <c r="C13" s="26" t="s">
        <v>177</v>
      </c>
      <c r="D13" s="18">
        <v>52</v>
      </c>
      <c r="E13" s="18">
        <v>5704</v>
      </c>
      <c r="F13" s="18">
        <v>5800</v>
      </c>
      <c r="G13" s="33">
        <v>57.3</v>
      </c>
      <c r="H13" s="33">
        <v>74.90000000000001</v>
      </c>
      <c r="I13" s="16">
        <v>5.35</v>
      </c>
      <c r="J13" s="34">
        <v>11.7</v>
      </c>
      <c r="K13" s="17">
        <v>0.92</v>
      </c>
      <c r="L13" s="34">
        <v>4.8</v>
      </c>
      <c r="M13" s="18">
        <v>175</v>
      </c>
      <c r="N13" s="33">
        <v>52.4</v>
      </c>
      <c r="O13" s="32" t="s">
        <v>178</v>
      </c>
    </row>
    <row r="14" spans="1:15" x14ac:dyDescent="0.25">
      <c r="B14" s="14" t="s">
        <v>179</v>
      </c>
      <c r="C14" s="26" t="s">
        <v>180</v>
      </c>
      <c r="D14" s="18">
        <v>44</v>
      </c>
      <c r="E14" s="18">
        <v>4836</v>
      </c>
      <c r="F14" s="18">
        <v>4900</v>
      </c>
      <c r="G14" s="33">
        <v>71.59999999999999</v>
      </c>
      <c r="H14" s="33">
        <v>92.09999999999999</v>
      </c>
      <c r="I14" s="16">
        <v>5.11</v>
      </c>
      <c r="J14" s="34">
        <v>10.9</v>
      </c>
      <c r="K14" s="17">
        <v>0.93</v>
      </c>
      <c r="L14" s="34">
        <v>6.5</v>
      </c>
      <c r="M14" s="18">
        <v>163</v>
      </c>
      <c r="N14" s="33">
        <v>52</v>
      </c>
      <c r="O14" s="32" t="s">
        <v>178</v>
      </c>
    </row>
    <row r="15" spans="1:15" x14ac:dyDescent="0.25">
      <c r="B15" s="14" t="s">
        <v>181</v>
      </c>
      <c r="C15" s="26" t="s">
        <v>182</v>
      </c>
      <c r="D15" s="18">
        <v>51</v>
      </c>
      <c r="E15" s="18">
        <v>5412</v>
      </c>
      <c r="F15" s="18">
        <v>5650</v>
      </c>
      <c r="G15" s="33">
        <v>55.4</v>
      </c>
      <c r="H15" s="33">
        <v>81.59999999999999</v>
      </c>
      <c r="I15" s="16">
        <v>4.86</v>
      </c>
      <c r="J15" s="34">
        <v>9.800000000000001</v>
      </c>
      <c r="K15" s="17">
        <v>0.93</v>
      </c>
      <c r="L15" s="34">
        <v>4.4</v>
      </c>
      <c r="M15" s="18">
        <v>141</v>
      </c>
      <c r="N15" s="33">
        <v>45.7</v>
      </c>
      <c r="O15" s="32" t="s">
        <v>178</v>
      </c>
    </row>
    <row r="16" spans="1:15" x14ac:dyDescent="0.25">
      <c r="B16" s="14" t="s">
        <v>183</v>
      </c>
      <c r="C16" s="26" t="s">
        <v>184</v>
      </c>
      <c r="D16" s="18">
        <v>49</v>
      </c>
      <c r="E16" s="18">
        <v>3165</v>
      </c>
      <c r="F16" s="18">
        <v>5300</v>
      </c>
      <c r="G16" s="33">
        <v>48.1</v>
      </c>
      <c r="H16" s="33">
        <v>74.40000000000001</v>
      </c>
      <c r="I16" s="16">
        <v>4.52</v>
      </c>
      <c r="J16" s="34">
        <v>8.6</v>
      </c>
      <c r="K16" s="17">
        <v>0.9399999999999999</v>
      </c>
      <c r="L16" s="34">
        <v>4.1</v>
      </c>
      <c r="M16" s="18">
        <v>118</v>
      </c>
      <c r="N16" s="33">
        <v>40.6</v>
      </c>
      <c r="O16" s="29" t="s">
        <v>185</v>
      </c>
    </row>
    <row r="19" spans="2:7" x14ac:dyDescent="0.25">
      <c r="B19" s="11" t="s">
        <v>186</v>
      </c>
    </row>
    <row r="20" spans="2:7" ht="26" customHeight="1" x14ac:dyDescent="0.25">
      <c r="B20" s="24" t="s">
        <v>187</v>
      </c>
      <c r="C20" s="24" t="s">
        <v>188</v>
      </c>
      <c r="D20" s="24" t="s">
        <v>189</v>
      </c>
      <c r="E20" s="24"/>
      <c r="F20" s="24"/>
      <c r="G20" s="24"/>
    </row>
    <row r="21" spans="2:7" ht="20" customHeight="1" x14ac:dyDescent="0.25">
      <c r="B21" s="26" t="s">
        <v>190</v>
      </c>
      <c r="C21" s="15" t="s">
        <v>191</v>
      </c>
      <c r="D21" s="35" t="s">
        <v>192</v>
      </c>
      <c r="E21" s="35"/>
      <c r="F21" s="35"/>
      <c r="G21" s="35"/>
    </row>
    <row r="22" spans="2:7" ht="20" customHeight="1" x14ac:dyDescent="0.25">
      <c r="B22" s="26" t="s">
        <v>193</v>
      </c>
      <c r="C22" s="15" t="s">
        <v>194</v>
      </c>
      <c r="D22" s="35" t="s">
        <v>195</v>
      </c>
      <c r="E22" s="35"/>
      <c r="F22" s="35"/>
      <c r="G22" s="35"/>
    </row>
    <row r="23" spans="2:7" ht="20" customHeight="1" x14ac:dyDescent="0.25">
      <c r="B23" s="26" t="s">
        <v>196</v>
      </c>
      <c r="C23" s="15" t="s">
        <v>197</v>
      </c>
      <c r="D23" s="35" t="s">
        <v>198</v>
      </c>
      <c r="E23" s="35"/>
      <c r="F23" s="35"/>
      <c r="G23" s="35"/>
    </row>
    <row r="24" spans="2:7" ht="20" customHeight="1" x14ac:dyDescent="0.25">
      <c r="B24" s="26" t="s">
        <v>199</v>
      </c>
      <c r="C24" s="15" t="s">
        <v>200</v>
      </c>
      <c r="D24" s="35" t="s">
        <v>201</v>
      </c>
      <c r="E24" s="35"/>
      <c r="F24" s="35"/>
      <c r="G24" s="35"/>
    </row>
    <row r="25" spans="2:7" ht="20" customHeight="1" x14ac:dyDescent="0.25">
      <c r="B25" s="26" t="s">
        <v>202</v>
      </c>
      <c r="C25" s="15" t="s">
        <v>203</v>
      </c>
      <c r="D25" s="35" t="s">
        <v>204</v>
      </c>
      <c r="E25" s="35"/>
      <c r="F25" s="35"/>
      <c r="G25" s="35"/>
    </row>
    <row r="26" spans="2:7" ht="20" customHeight="1" x14ac:dyDescent="0.25">
      <c r="B26" s="26" t="s">
        <v>205</v>
      </c>
      <c r="C26" s="15" t="s">
        <v>206</v>
      </c>
      <c r="D26" s="35" t="s">
        <v>207</v>
      </c>
      <c r="E26" s="35"/>
      <c r="F26" s="35"/>
      <c r="G26" s="35"/>
    </row>
    <row r="39" spans="2:6" x14ac:dyDescent="0.25">
      <c r="B39" s="11" t="s">
        <v>208</v>
      </c>
    </row>
    <row r="40" spans="2:6" x14ac:dyDescent="0.25">
      <c r="B40" s="24" t="s">
        <v>209</v>
      </c>
      <c r="C40" s="13" t="s">
        <v>210</v>
      </c>
    </row>
    <row r="41" spans="2:6" x14ac:dyDescent="0.25">
      <c r="B41" s="26" t="s">
        <v>211</v>
      </c>
      <c r="C41" s="16">
        <v>3.5095</v>
      </c>
    </row>
    <row r="42" spans="2:6" x14ac:dyDescent="0.25">
      <c r="B42" s="26" t="s">
        <v>212</v>
      </c>
      <c r="C42" s="16">
        <v>2.5205</v>
      </c>
    </row>
    <row r="43" spans="2:6" x14ac:dyDescent="0.25">
      <c r="B43" s="20" t="s">
        <v>213</v>
      </c>
      <c r="C43" s="21">
        <f>SUM(C41:C42)</f>
        <v>0</v>
      </c>
    </row>
    <row r="45" spans="2:6" x14ac:dyDescent="0.25">
      <c r="B45" s="11" t="s">
        <v>214</v>
      </c>
    </row>
    <row r="46" spans="2:6" ht="26" customHeight="1" x14ac:dyDescent="0.25">
      <c r="B46" s="24" t="s">
        <v>209</v>
      </c>
      <c r="C46" s="24" t="s">
        <v>215</v>
      </c>
      <c r="D46" s="24" t="s">
        <v>216</v>
      </c>
      <c r="E46" s="24" t="s">
        <v>217</v>
      </c>
      <c r="F46" s="24" t="s">
        <v>218</v>
      </c>
    </row>
    <row r="47" spans="2:6" x14ac:dyDescent="0.25">
      <c r="B47" s="26" t="s">
        <v>219</v>
      </c>
      <c r="C47" s="18">
        <v>255517</v>
      </c>
      <c r="D47" s="16">
        <v>31.99</v>
      </c>
      <c r="E47" s="19">
        <v>373693612</v>
      </c>
      <c r="F47" s="15" t="s">
        <v>220</v>
      </c>
    </row>
    <row r="48" spans="2:6" x14ac:dyDescent="0.25">
      <c r="B48" s="26" t="s">
        <v>221</v>
      </c>
      <c r="C48" s="18">
        <v>218556</v>
      </c>
      <c r="D48" s="16">
        <v>27.36</v>
      </c>
      <c r="E48" s="19">
        <v>319638150</v>
      </c>
      <c r="F48" s="15" t="s">
        <v>222</v>
      </c>
    </row>
    <row r="49" spans="2:6" x14ac:dyDescent="0.25">
      <c r="B49" s="26" t="s">
        <v>223</v>
      </c>
      <c r="C49" s="18">
        <v>175011</v>
      </c>
      <c r="D49" s="16">
        <v>21.91</v>
      </c>
      <c r="E49" s="19">
        <v>255953588</v>
      </c>
      <c r="F49" s="15" t="s">
        <v>82</v>
      </c>
    </row>
    <row r="50" spans="2:6" x14ac:dyDescent="0.25">
      <c r="B50" s="26" t="s">
        <v>224</v>
      </c>
      <c r="C50" s="18">
        <v>116471</v>
      </c>
      <c r="D50" s="16">
        <v>14.58</v>
      </c>
      <c r="E50" s="19">
        <v>170338838</v>
      </c>
      <c r="F50" s="15" t="s">
        <v>225</v>
      </c>
    </row>
    <row r="51" spans="2:6" x14ac:dyDescent="0.25">
      <c r="B51" s="26" t="s">
        <v>226</v>
      </c>
      <c r="C51" s="18">
        <v>33276</v>
      </c>
      <c r="D51" s="16">
        <v>4.17</v>
      </c>
      <c r="E51" s="19">
        <v>48666150</v>
      </c>
      <c r="F51" s="15" t="s">
        <v>90</v>
      </c>
    </row>
    <row r="52" spans="2:6" x14ac:dyDescent="0.25">
      <c r="B52" s="20" t="s">
        <v>227</v>
      </c>
      <c r="C52" s="22">
        <f>SUM(C47:C51)</f>
        <v>0</v>
      </c>
      <c r="D52" s="21">
        <v>100</v>
      </c>
      <c r="E52" s="22">
        <f>SUM(E47:E51)</f>
        <v>0</v>
      </c>
      <c r="F52" s="22"/>
    </row>
  </sheetData>
  <mergeCells count="10">
    <mergeCell ref="A2:K2"/>
    <mergeCell ref="A3:K3"/>
    <mergeCell ref="L2:O3"/>
    <mergeCell ref="D20:G20"/>
    <mergeCell ref="D21:G21"/>
    <mergeCell ref="D22:G22"/>
    <mergeCell ref="D23:G23"/>
    <mergeCell ref="D24:G24"/>
    <mergeCell ref="D25:G25"/>
    <mergeCell ref="D26:G26"/>
  </mergeCells>
  <conditionalFormatting sqref="C47:C51">
    <cfRule type="dataBar" priority="6">
      <dataBar>
        <cfvo type="min"/>
        <cfvo type="max"/>
        <color rgb="FF1273B8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I7:I16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conditionalFormatting sqref="J7:J16">
    <cfRule type="dataBar" priority="2">
      <dataBar>
        <cfvo type="min"/>
        <cfvo type="max"/>
        <color rgb="FFEA7317"/>
      </dataBar>
      <extLst>
        <ext xmlns:x14="http://schemas.microsoft.com/office/spreadsheetml/2009/9/main" uri="{B025F937-C7B1-47D3-B67F-A62EFF666E3E}">
          <x14:id>{DA7ABA51-AAAA-BBBB-0005-000000000003}</x14:id>
        </ext>
      </extLst>
    </cfRule>
  </conditionalFormatting>
  <conditionalFormatting sqref="K7:K16">
    <cfRule type="colorScale" priority="5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L7:L16">
    <cfRule type="dataBar" priority="3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{DA7ABA51-AAAA-BBBB-0005-000000000004}</x14:id>
        </ext>
      </extLst>
    </cfRule>
  </conditionalFormatting>
  <conditionalFormatting sqref="N7:N16">
    <cfRule type="dataBar" priority="4">
      <dataBar>
        <cfvo type="min"/>
        <cfvo type="max"/>
        <color rgb="FF1273B8"/>
      </dataBar>
      <extLst>
        <ext xmlns:x14="http://schemas.microsoft.com/office/spreadsheetml/2009/9/main" uri="{B025F937-C7B1-47D3-B67F-A62EFF666E3E}">
          <x14:id>{DA7ABA51-AAAA-BBBB-0005-000000000005}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1273B8"/>
              <x14:negativeFillColor rgb="FFFF0000"/>
              <x14:negativeBorderColor rgb="FFFF0000"/>
              <x14:axisColor rgb="FF000000"/>
            </x14:dataBar>
          </x14:cfRule>
          <xm:sqref>C47:C51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border="1" gradient="0" negativeBarBorderColorSameAsPositive="0">
              <x14:cfvo type="autoMin"/>
              <x14:cfvo type="autoMax"/>
              <x14:borderColor rgb="FFDC2626"/>
              <x14:negativeFillColor rgb="FFFF0000"/>
              <x14:negativeBorderColor rgb="FFFF0000"/>
              <x14:axisColor rgb="FF000000"/>
            </x14:dataBar>
          </x14:cfRule>
          <xm:sqref>I7:I16</xm:sqref>
        </x14:conditionalFormatting>
        <x14:conditionalFormatting xmlns:xm="http://schemas.microsoft.com/office/excel/2006/main">
          <x14:cfRule type="dataBar" id="{DA7ABA51-AAAA-BBBB-0005-000000000003}">
            <x14:dataBar minLength="0" maxLength="100" border="1" gradient="0" negativeBarBorderColorSameAsPositive="0">
              <x14:cfvo type="autoMin"/>
              <x14:cfvo type="autoMax"/>
              <x14:borderColor rgb="FFEA7317"/>
              <x14:negativeFillColor rgb="FFFF0000"/>
              <x14:negativeBorderColor rgb="FFFF0000"/>
              <x14:axisColor rgb="FF000000"/>
            </x14:dataBar>
          </x14:cfRule>
          <xm:sqref>J7:J16</xm:sqref>
        </x14:conditionalFormatting>
        <x14:conditionalFormatting xmlns:xm="http://schemas.microsoft.com/office/excel/2006/main">
          <x14:cfRule type="dataBar" id="{DA7ABA51-AAAA-BBBB-0005-000000000004}">
            <x14:dataBar minLength="0" maxLength="100" border="1" gradient="0" negativeBarBorderColorSameAsPositive="0">
              <x14:cfvo type="autoMin"/>
              <x14:cfvo type="autoMax"/>
              <x14:borderColor rgb="FFF59E0B"/>
              <x14:negativeFillColor rgb="FFFF0000"/>
              <x14:negativeBorder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DA7ABA51-AAAA-BBBB-0005-000000000005}">
            <x14:dataBar minLength="0" maxLength="100" border="1" gradient="0" negativeBarBorderColorSameAsPositive="0">
              <x14:cfvo type="autoMin"/>
              <x14:cfvo type="autoMax"/>
              <x14:borderColor rgb="FF1273B8"/>
              <x14:negativeFillColor rgb="FFFF0000"/>
              <x14:negativeBorderColor rgb="FFFF0000"/>
              <x14:axisColor rgb="FF000000"/>
            </x14:dataBar>
          </x14:cfRule>
          <xm:sqref>N7:N16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7317"/>
  </sheetPr>
  <dimension ref="A1:J22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.7109375" customWidth="1"/>
    <col min="2" max="2" width="10.7109375" customWidth="1"/>
    <col min="3" max="3" width="42.7109375" customWidth="1"/>
    <col min="4" max="9" width="15.7109375" customWidth="1"/>
  </cols>
  <sheetData>
    <row r="1" spans="1:10" ht="8" customHeight="1" x14ac:dyDescent="0.25"/>
    <row r="2" spans="1:10" ht="30" customHeight="1" x14ac:dyDescent="0.25">
      <c r="A2" s="1" t="s">
        <v>228</v>
      </c>
      <c r="B2" s="1"/>
      <c r="C2" s="1"/>
      <c r="D2" s="1"/>
      <c r="E2" s="1"/>
      <c r="F2" s="1"/>
      <c r="G2" s="2" t="s">
        <v>2</v>
      </c>
      <c r="H2" s="2"/>
      <c r="I2" s="2"/>
      <c r="J2" s="2"/>
    </row>
    <row r="3" spans="1:10" ht="18" customHeight="1" x14ac:dyDescent="0.25">
      <c r="A3" s="3" t="s">
        <v>229</v>
      </c>
      <c r="B3" s="3"/>
      <c r="C3" s="3"/>
      <c r="D3" s="3"/>
      <c r="E3" s="3"/>
      <c r="F3" s="3"/>
      <c r="G3" s="2"/>
      <c r="H3" s="2"/>
      <c r="I3" s="2"/>
      <c r="J3" s="2"/>
    </row>
    <row r="4" spans="1:10" ht="8" customHeight="1" x14ac:dyDescent="0.25"/>
    <row r="6" spans="1:10" ht="30" customHeight="1" x14ac:dyDescent="0.25">
      <c r="B6" s="13" t="s">
        <v>37</v>
      </c>
      <c r="C6" s="13" t="s">
        <v>230</v>
      </c>
      <c r="D6" s="13" t="s">
        <v>231</v>
      </c>
      <c r="E6" s="13" t="s">
        <v>232</v>
      </c>
      <c r="F6" s="13" t="s">
        <v>233</v>
      </c>
      <c r="G6" s="13" t="s">
        <v>234</v>
      </c>
      <c r="H6" s="13" t="s">
        <v>235</v>
      </c>
      <c r="I6" s="13" t="s">
        <v>236</v>
      </c>
    </row>
    <row r="7" spans="1:10" x14ac:dyDescent="0.25">
      <c r="B7" s="14" t="s">
        <v>49</v>
      </c>
      <c r="C7" s="18">
        <v>300</v>
      </c>
      <c r="D7" s="18">
        <v>26</v>
      </c>
      <c r="E7" s="16">
        <f>IF(C7=0,0,D7/C7*100)</f>
        <v>0</v>
      </c>
      <c r="F7" s="18">
        <v>76379</v>
      </c>
      <c r="G7" s="19">
        <v>235580000</v>
      </c>
      <c r="H7" s="19">
        <v>152161122</v>
      </c>
      <c r="I7" s="16">
        <f>IF(G7=0,0,H7/G7*100)</f>
        <v>0</v>
      </c>
    </row>
    <row r="8" spans="1:10" x14ac:dyDescent="0.25">
      <c r="B8" s="14" t="s">
        <v>51</v>
      </c>
      <c r="C8" s="18">
        <v>243</v>
      </c>
      <c r="D8" s="18">
        <v>22</v>
      </c>
      <c r="E8" s="16">
        <f>IF(C8=0,0,D8/C8*100)</f>
        <v>0</v>
      </c>
      <c r="F8" s="18">
        <v>94232</v>
      </c>
      <c r="G8" s="19">
        <v>212620000</v>
      </c>
      <c r="H8" s="19">
        <v>142604234</v>
      </c>
      <c r="I8" s="16">
        <f>IF(G8=0,0,H8/G8*100)</f>
        <v>0</v>
      </c>
    </row>
    <row r="9" spans="1:10" x14ac:dyDescent="0.25">
      <c r="B9" s="14" t="s">
        <v>52</v>
      </c>
      <c r="C9" s="18">
        <v>284</v>
      </c>
      <c r="D9" s="18">
        <v>27</v>
      </c>
      <c r="E9" s="16">
        <f>IF(C9=0,0,D9/C9*100)</f>
        <v>0</v>
      </c>
      <c r="F9" s="18">
        <v>83457</v>
      </c>
      <c r="G9" s="19">
        <v>203350000</v>
      </c>
      <c r="H9" s="19">
        <v>144337830</v>
      </c>
      <c r="I9" s="16">
        <f>IF(G9=0,0,H9/G9*100)</f>
        <v>0</v>
      </c>
    </row>
    <row r="10" spans="1:10" x14ac:dyDescent="0.25">
      <c r="B10" s="14" t="s">
        <v>53</v>
      </c>
      <c r="C10" s="18">
        <v>257</v>
      </c>
      <c r="D10" s="18">
        <v>26</v>
      </c>
      <c r="E10" s="16">
        <f>IF(C10=0,0,D10/C10*100)</f>
        <v>0</v>
      </c>
      <c r="F10" s="18">
        <v>78046</v>
      </c>
      <c r="G10" s="19">
        <v>202880000</v>
      </c>
      <c r="H10" s="19">
        <v>147169152</v>
      </c>
      <c r="I10" s="16">
        <f>IF(G10=0,0,H10/G10*100)</f>
        <v>0</v>
      </c>
    </row>
    <row r="11" spans="1:10" x14ac:dyDescent="0.25">
      <c r="B11" s="14" t="s">
        <v>54</v>
      </c>
      <c r="C11" s="18">
        <v>270</v>
      </c>
      <c r="D11" s="18">
        <v>27</v>
      </c>
      <c r="E11" s="16">
        <f>IF(C11=0,0,D11/C11*100)</f>
        <v>0</v>
      </c>
      <c r="F11" s="18">
        <v>80713</v>
      </c>
      <c r="G11" s="19">
        <v>208250000</v>
      </c>
      <c r="H11" s="19">
        <v>162226749</v>
      </c>
      <c r="I11" s="16">
        <f>IF(G11=0,0,H11/G11*100)</f>
        <v>0</v>
      </c>
    </row>
    <row r="12" spans="1:10" x14ac:dyDescent="0.25">
      <c r="B12" s="14" t="s">
        <v>55</v>
      </c>
      <c r="C12" s="18">
        <v>248</v>
      </c>
      <c r="D12" s="18">
        <v>26</v>
      </c>
      <c r="E12" s="16">
        <f>IF(C12=0,0,D12/C12*100)</f>
        <v>0</v>
      </c>
      <c r="F12" s="18">
        <v>87633</v>
      </c>
      <c r="G12" s="19">
        <v>187090000</v>
      </c>
      <c r="H12" s="19">
        <v>155995642</v>
      </c>
      <c r="I12" s="16">
        <f>IF(G12=0,0,H12/G12*100)</f>
        <v>0</v>
      </c>
    </row>
    <row r="13" spans="1:10" x14ac:dyDescent="0.25">
      <c r="B13" s="14" t="s">
        <v>56</v>
      </c>
      <c r="C13" s="18">
        <v>316</v>
      </c>
      <c r="D13" s="18">
        <v>35</v>
      </c>
      <c r="E13" s="16">
        <f>IF(C13=0,0,D13/C13*100)</f>
        <v>0</v>
      </c>
      <c r="F13" s="18">
        <v>83426</v>
      </c>
      <c r="G13" s="19">
        <v>226660000</v>
      </c>
      <c r="H13" s="19">
        <v>179174730</v>
      </c>
      <c r="I13" s="16">
        <f>IF(G13=0,0,H13/G13*100)</f>
        <v>0</v>
      </c>
    </row>
    <row r="14" spans="1:10" x14ac:dyDescent="0.25">
      <c r="B14" s="14" t="s">
        <v>57</v>
      </c>
      <c r="C14" s="18">
        <v>290</v>
      </c>
      <c r="D14" s="18">
        <v>33</v>
      </c>
      <c r="E14" s="16">
        <f>IF(C14=0,0,D14/C14*100)</f>
        <v>0</v>
      </c>
      <c r="F14" s="18">
        <v>90781</v>
      </c>
      <c r="G14" s="19">
        <v>200890000</v>
      </c>
      <c r="H14" s="19">
        <v>175778749</v>
      </c>
      <c r="I14" s="16">
        <f>IF(G14=0,0,H14/G14*100)</f>
        <v>0</v>
      </c>
    </row>
    <row r="15" spans="1:10" x14ac:dyDescent="0.25">
      <c r="B15" s="20" t="s">
        <v>237</v>
      </c>
      <c r="C15" s="22">
        <f>SUM(C7:C14)</f>
        <v>0</v>
      </c>
      <c r="D15" s="22">
        <f>SUM(D7:D14)</f>
        <v>0</v>
      </c>
      <c r="E15" s="21">
        <f>D15/C15*100</f>
        <v>0</v>
      </c>
      <c r="F15" s="22">
        <f>SUM(F7:F14)</f>
        <v>0</v>
      </c>
      <c r="G15" s="22">
        <f>SUM(G7:G14)</f>
        <v>0</v>
      </c>
      <c r="H15" s="22">
        <f>SUM(H7:H14)</f>
        <v>0</v>
      </c>
      <c r="I15" s="21">
        <f>H15/G15*100</f>
        <v>0</v>
      </c>
    </row>
    <row r="17" spans="2:7" x14ac:dyDescent="0.25">
      <c r="B17" s="11" t="s">
        <v>238</v>
      </c>
    </row>
    <row r="18" spans="2:7" ht="30" customHeight="1" x14ac:dyDescent="0.25">
      <c r="B18" s="13" t="s">
        <v>239</v>
      </c>
      <c r="C18" s="24" t="s">
        <v>240</v>
      </c>
      <c r="D18" s="13" t="s">
        <v>231</v>
      </c>
      <c r="E18" s="13" t="s">
        <v>233</v>
      </c>
      <c r="F18" s="13" t="s">
        <v>234</v>
      </c>
      <c r="G18" s="13" t="s">
        <v>241</v>
      </c>
    </row>
    <row r="19" spans="2:7" x14ac:dyDescent="0.25">
      <c r="B19" s="14" t="s">
        <v>242</v>
      </c>
      <c r="C19" s="35" t="s">
        <v>243</v>
      </c>
      <c r="D19" s="18">
        <v>68</v>
      </c>
      <c r="E19" s="18">
        <v>209146</v>
      </c>
      <c r="F19" s="19">
        <v>519969200</v>
      </c>
      <c r="G19" s="16">
        <v>31</v>
      </c>
    </row>
    <row r="20" spans="2:7" x14ac:dyDescent="0.25">
      <c r="B20" s="14" t="s">
        <v>244</v>
      </c>
      <c r="C20" s="35" t="s">
        <v>245</v>
      </c>
      <c r="D20" s="18">
        <v>97</v>
      </c>
      <c r="E20" s="18">
        <v>296854</v>
      </c>
      <c r="F20" s="19">
        <v>738020800</v>
      </c>
      <c r="G20" s="16">
        <v>44</v>
      </c>
    </row>
    <row r="21" spans="2:7" x14ac:dyDescent="0.25">
      <c r="B21" s="14" t="s">
        <v>246</v>
      </c>
      <c r="C21" s="35" t="s">
        <v>247</v>
      </c>
      <c r="D21" s="18">
        <v>42</v>
      </c>
      <c r="E21" s="18">
        <v>128186</v>
      </c>
      <c r="F21" s="19">
        <v>318690800</v>
      </c>
      <c r="G21" s="16">
        <v>19</v>
      </c>
    </row>
    <row r="22" spans="2:7" x14ac:dyDescent="0.25">
      <c r="B22" s="14" t="s">
        <v>248</v>
      </c>
      <c r="C22" s="35" t="s">
        <v>249</v>
      </c>
      <c r="D22" s="18">
        <v>15</v>
      </c>
      <c r="E22" s="18">
        <v>40481</v>
      </c>
      <c r="F22" s="19">
        <v>100639200</v>
      </c>
      <c r="G22" s="16">
        <v>6</v>
      </c>
    </row>
  </sheetData>
  <mergeCells count="3">
    <mergeCell ref="A2:F2"/>
    <mergeCell ref="A3:F3"/>
    <mergeCell ref="G2:J3"/>
  </mergeCells>
  <conditionalFormatting sqref="E7:E1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G19:G22">
    <cfRule type="dataBar" priority="3">
      <dataBar>
        <cfvo type="min"/>
        <cfvo type="max"/>
        <color rgb="FFEA731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conditionalFormatting sqref="I7:I14">
    <cfRule type="colorScale" priority="2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16A34A"/>
              <x14:negativeFillColor rgb="FFFF0000"/>
              <x14:negativeBorderColor rgb="FFFF0000"/>
              <x14:axisColor rgb="FF000000"/>
            </x14:dataBar>
          </x14:cfRule>
          <xm:sqref>E7:E14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EA7317"/>
              <x14:negativeFillColor rgb="FFFF0000"/>
              <x14:negativeBorderColor rgb="FFFF0000"/>
              <x14:axisColor rgb="FF000000"/>
            </x14:dataBar>
          </x14:cfRule>
          <xm:sqref>G19:G22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M2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RowHeight="15" x14ac:dyDescent="0.25"/>
  <cols>
    <col min="1" max="1" width="2.7109375" customWidth="1"/>
    <col min="2" max="2" width="5.7109375" customWidth="1"/>
    <col min="3" max="3" width="14.7109375" customWidth="1"/>
    <col min="4" max="4" width="8.7109375" customWidth="1"/>
    <col min="5" max="5" width="50.7109375" customWidth="1"/>
    <col min="6" max="6" width="40.7109375" customWidth="1"/>
    <col min="7" max="11" width="13.7109375" customWidth="1"/>
    <col min="12" max="12" width="26.7109375" customWidth="1"/>
    <col min="13" max="13" width="12.7109375" customWidth="1"/>
  </cols>
  <sheetData>
    <row r="1" spans="1:13" ht="8" customHeight="1" x14ac:dyDescent="0.25"/>
    <row r="2" spans="1:13" ht="30" customHeight="1" x14ac:dyDescent="0.25">
      <c r="A2" s="1" t="s">
        <v>250</v>
      </c>
      <c r="B2" s="1"/>
      <c r="C2" s="1"/>
      <c r="D2" s="1"/>
      <c r="E2" s="1"/>
      <c r="F2" s="1"/>
      <c r="G2" s="1"/>
      <c r="H2" s="1"/>
      <c r="I2" s="1"/>
      <c r="J2" s="2" t="s">
        <v>2</v>
      </c>
      <c r="K2" s="2"/>
      <c r="L2" s="2"/>
      <c r="M2" s="2"/>
    </row>
    <row r="3" spans="1:13" ht="18" customHeight="1" x14ac:dyDescent="0.25">
      <c r="A3" s="3" t="s">
        <v>251</v>
      </c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</row>
    <row r="4" spans="1:13" ht="8" customHeight="1" x14ac:dyDescent="0.25"/>
    <row r="6" spans="1:13" ht="34" customHeight="1" x14ac:dyDescent="0.25">
      <c r="B6" s="13" t="s">
        <v>252</v>
      </c>
      <c r="C6" s="13" t="s">
        <v>253</v>
      </c>
      <c r="D6" s="13" t="s">
        <v>129</v>
      </c>
      <c r="E6" s="24" t="s">
        <v>254</v>
      </c>
      <c r="F6" s="24" t="s">
        <v>255</v>
      </c>
      <c r="G6" s="13" t="s">
        <v>256</v>
      </c>
      <c r="H6" s="13" t="s">
        <v>257</v>
      </c>
      <c r="I6" s="13" t="s">
        <v>258</v>
      </c>
      <c r="J6" s="13" t="s">
        <v>259</v>
      </c>
      <c r="K6" s="13" t="s">
        <v>260</v>
      </c>
      <c r="L6" s="13" t="s">
        <v>140</v>
      </c>
      <c r="M6" s="13" t="s">
        <v>261</v>
      </c>
    </row>
    <row r="7" spans="1:13" ht="44" customHeight="1" x14ac:dyDescent="0.25">
      <c r="B7" s="15">
        <v>1</v>
      </c>
      <c r="C7" s="36" t="s">
        <v>262</v>
      </c>
      <c r="D7" s="15" t="s">
        <v>263</v>
      </c>
      <c r="E7" s="35" t="s">
        <v>264</v>
      </c>
      <c r="F7" s="35" t="s">
        <v>265</v>
      </c>
      <c r="G7" s="17">
        <v>224.97</v>
      </c>
      <c r="H7" s="17">
        <v>56.24</v>
      </c>
      <c r="I7" s="18">
        <v>35995</v>
      </c>
      <c r="J7" s="37">
        <v>210572212</v>
      </c>
      <c r="K7" s="34">
        <v>55</v>
      </c>
      <c r="L7" s="26" t="s">
        <v>144</v>
      </c>
      <c r="M7" s="15" t="s">
        <v>266</v>
      </c>
    </row>
    <row r="8" spans="1:13" ht="44" customHeight="1" x14ac:dyDescent="0.25">
      <c r="B8" s="15">
        <v>2</v>
      </c>
      <c r="C8" s="36" t="s">
        <v>262</v>
      </c>
      <c r="D8" s="15" t="s">
        <v>263</v>
      </c>
      <c r="E8" s="35" t="s">
        <v>267</v>
      </c>
      <c r="F8" s="35" t="s">
        <v>268</v>
      </c>
      <c r="G8" s="17">
        <v>1722.68</v>
      </c>
      <c r="H8" s="17">
        <v>430.67</v>
      </c>
      <c r="I8" s="18">
        <v>0</v>
      </c>
      <c r="J8" s="37">
        <v>0</v>
      </c>
      <c r="K8" s="34">
        <v>48</v>
      </c>
      <c r="L8" s="26" t="s">
        <v>144</v>
      </c>
      <c r="M8" s="15" t="s">
        <v>269</v>
      </c>
    </row>
    <row r="9" spans="1:13" ht="44" customHeight="1" x14ac:dyDescent="0.25">
      <c r="B9" s="15">
        <v>3</v>
      </c>
      <c r="C9" s="36" t="s">
        <v>262</v>
      </c>
      <c r="D9" s="15" t="s">
        <v>141</v>
      </c>
      <c r="E9" s="35" t="s">
        <v>270</v>
      </c>
      <c r="F9" s="35" t="s">
        <v>271</v>
      </c>
      <c r="G9" s="17">
        <v>7.84</v>
      </c>
      <c r="H9" s="17">
        <v>1.96</v>
      </c>
      <c r="I9" s="18">
        <v>17444</v>
      </c>
      <c r="J9" s="37">
        <v>102047400</v>
      </c>
      <c r="K9" s="34">
        <v>36</v>
      </c>
      <c r="L9" s="26" t="s">
        <v>142</v>
      </c>
      <c r="M9" s="15" t="s">
        <v>272</v>
      </c>
    </row>
    <row r="10" spans="1:13" ht="44" customHeight="1" x14ac:dyDescent="0.25">
      <c r="B10" s="15">
        <v>4</v>
      </c>
      <c r="C10" s="38" t="s">
        <v>171</v>
      </c>
      <c r="D10" s="15" t="s">
        <v>141</v>
      </c>
      <c r="E10" s="35" t="s">
        <v>273</v>
      </c>
      <c r="F10" s="35" t="s">
        <v>274</v>
      </c>
      <c r="G10" s="17">
        <v>6.02</v>
      </c>
      <c r="H10" s="17">
        <v>1.5</v>
      </c>
      <c r="I10" s="18">
        <v>20769</v>
      </c>
      <c r="J10" s="37">
        <v>121498650</v>
      </c>
      <c r="K10" s="34">
        <v>44</v>
      </c>
      <c r="L10" s="26" t="s">
        <v>142</v>
      </c>
      <c r="M10" s="15" t="s">
        <v>266</v>
      </c>
    </row>
    <row r="11" spans="1:13" ht="44" customHeight="1" x14ac:dyDescent="0.25">
      <c r="B11" s="15">
        <v>5</v>
      </c>
      <c r="C11" s="38" t="s">
        <v>171</v>
      </c>
      <c r="D11" s="15" t="s">
        <v>141</v>
      </c>
      <c r="E11" s="35" t="s">
        <v>275</v>
      </c>
      <c r="F11" s="35" t="s">
        <v>276</v>
      </c>
      <c r="G11" s="17">
        <v>4.31</v>
      </c>
      <c r="H11" s="17">
        <v>1.08</v>
      </c>
      <c r="I11" s="18">
        <v>22628</v>
      </c>
      <c r="J11" s="37">
        <v>132370875</v>
      </c>
      <c r="K11" s="34">
        <v>50</v>
      </c>
      <c r="L11" s="26" t="s">
        <v>142</v>
      </c>
      <c r="M11" s="15" t="s">
        <v>277</v>
      </c>
    </row>
    <row r="12" spans="1:13" ht="44" customHeight="1" x14ac:dyDescent="0.25">
      <c r="B12" s="15">
        <v>6</v>
      </c>
      <c r="C12" s="38" t="s">
        <v>171</v>
      </c>
      <c r="D12" s="15" t="s">
        <v>263</v>
      </c>
      <c r="E12" s="35" t="s">
        <v>278</v>
      </c>
      <c r="F12" s="35" t="s">
        <v>279</v>
      </c>
      <c r="G12" s="17">
        <v>1253.63</v>
      </c>
      <c r="H12" s="17">
        <v>313.41</v>
      </c>
      <c r="I12" s="18">
        <v>22252</v>
      </c>
      <c r="J12" s="37">
        <v>130174200</v>
      </c>
      <c r="K12" s="34">
        <v>63</v>
      </c>
      <c r="L12" s="26" t="s">
        <v>144</v>
      </c>
      <c r="M12" s="15" t="s">
        <v>269</v>
      </c>
    </row>
    <row r="13" spans="1:13" ht="44" customHeight="1" x14ac:dyDescent="0.25">
      <c r="B13" s="15">
        <v>7</v>
      </c>
      <c r="C13" s="38" t="s">
        <v>171</v>
      </c>
      <c r="D13" s="15" t="s">
        <v>263</v>
      </c>
      <c r="E13" s="35" t="s">
        <v>280</v>
      </c>
      <c r="F13" s="35" t="s">
        <v>281</v>
      </c>
      <c r="G13" s="17">
        <v>124.6</v>
      </c>
      <c r="H13" s="17">
        <v>31.15</v>
      </c>
      <c r="I13" s="18">
        <v>27724</v>
      </c>
      <c r="J13" s="37">
        <v>162182475</v>
      </c>
      <c r="K13" s="34">
        <v>61</v>
      </c>
      <c r="L13" s="26" t="s">
        <v>144</v>
      </c>
      <c r="M13" s="15" t="s">
        <v>282</v>
      </c>
    </row>
    <row r="14" spans="1:13" ht="44" customHeight="1" x14ac:dyDescent="0.25">
      <c r="B14" s="15">
        <v>8</v>
      </c>
      <c r="C14" s="39" t="s">
        <v>178</v>
      </c>
      <c r="D14" s="15" t="s">
        <v>263</v>
      </c>
      <c r="E14" s="35" t="s">
        <v>283</v>
      </c>
      <c r="F14" s="35" t="s">
        <v>284</v>
      </c>
      <c r="G14" s="17">
        <v>1295.99</v>
      </c>
      <c r="H14" s="17">
        <v>324</v>
      </c>
      <c r="I14" s="18">
        <v>18792</v>
      </c>
      <c r="J14" s="37">
        <v>109931738</v>
      </c>
      <c r="K14" s="34">
        <v>69</v>
      </c>
      <c r="L14" s="26" t="s">
        <v>144</v>
      </c>
      <c r="M14" s="15" t="s">
        <v>272</v>
      </c>
    </row>
    <row r="15" spans="1:13" ht="44" customHeight="1" x14ac:dyDescent="0.25">
      <c r="B15" s="15">
        <v>9</v>
      </c>
      <c r="C15" s="39" t="s">
        <v>178</v>
      </c>
      <c r="D15" s="15" t="s">
        <v>141</v>
      </c>
      <c r="E15" s="35" t="s">
        <v>285</v>
      </c>
      <c r="F15" s="35" t="s">
        <v>286</v>
      </c>
      <c r="G15" s="17">
        <v>8.25</v>
      </c>
      <c r="H15" s="17">
        <v>2.06</v>
      </c>
      <c r="I15" s="18">
        <v>23719</v>
      </c>
      <c r="J15" s="37">
        <v>138754688</v>
      </c>
      <c r="K15" s="34">
        <v>58</v>
      </c>
      <c r="L15" s="26" t="s">
        <v>142</v>
      </c>
      <c r="M15" s="15" t="s">
        <v>287</v>
      </c>
    </row>
    <row r="16" spans="1:13" ht="44" customHeight="1" x14ac:dyDescent="0.25">
      <c r="B16" s="15">
        <v>10</v>
      </c>
      <c r="C16" s="39" t="s">
        <v>178</v>
      </c>
      <c r="D16" s="15" t="s">
        <v>141</v>
      </c>
      <c r="E16" s="35" t="s">
        <v>288</v>
      </c>
      <c r="F16" s="35" t="s">
        <v>289</v>
      </c>
      <c r="G16" s="17">
        <v>15.09</v>
      </c>
      <c r="H16" s="17">
        <v>3.77</v>
      </c>
      <c r="I16" s="18">
        <v>23390</v>
      </c>
      <c r="J16" s="37">
        <v>136828575</v>
      </c>
      <c r="K16" s="34">
        <v>71</v>
      </c>
      <c r="L16" s="26" t="s">
        <v>142</v>
      </c>
      <c r="M16" s="15" t="s">
        <v>272</v>
      </c>
    </row>
    <row r="17" spans="2:13" ht="44" customHeight="1" x14ac:dyDescent="0.25">
      <c r="B17" s="15">
        <v>11</v>
      </c>
      <c r="C17" s="39" t="s">
        <v>178</v>
      </c>
      <c r="D17" s="15" t="s">
        <v>263</v>
      </c>
      <c r="E17" s="35" t="s">
        <v>290</v>
      </c>
      <c r="F17" s="35" t="s">
        <v>291</v>
      </c>
      <c r="G17" s="17">
        <v>79.52</v>
      </c>
      <c r="H17" s="17">
        <v>19.88</v>
      </c>
      <c r="I17" s="18">
        <v>29422</v>
      </c>
      <c r="J17" s="37">
        <v>172121625</v>
      </c>
      <c r="K17" s="34">
        <v>79</v>
      </c>
      <c r="L17" s="26" t="s">
        <v>144</v>
      </c>
      <c r="M17" s="15" t="s">
        <v>292</v>
      </c>
    </row>
    <row r="18" spans="2:13" ht="44" customHeight="1" x14ac:dyDescent="0.25">
      <c r="B18" s="15">
        <v>12</v>
      </c>
      <c r="C18" s="40" t="s">
        <v>293</v>
      </c>
      <c r="D18" s="15" t="s">
        <v>141</v>
      </c>
      <c r="E18" s="35" t="s">
        <v>294</v>
      </c>
      <c r="F18" s="35" t="s">
        <v>295</v>
      </c>
      <c r="G18" s="17">
        <v>52.79</v>
      </c>
      <c r="H18" s="17">
        <v>13.2</v>
      </c>
      <c r="I18" s="18">
        <v>12538</v>
      </c>
      <c r="J18" s="37">
        <v>73344375</v>
      </c>
      <c r="K18" s="34">
        <v>106</v>
      </c>
      <c r="L18" s="26" t="s">
        <v>142</v>
      </c>
      <c r="M18" s="15" t="s">
        <v>296</v>
      </c>
    </row>
    <row r="19" spans="2:13" x14ac:dyDescent="0.25">
      <c r="B19" s="20"/>
      <c r="C19" s="20"/>
      <c r="D19" s="20"/>
      <c r="E19" s="20" t="s">
        <v>297</v>
      </c>
      <c r="F19" s="22"/>
      <c r="G19" s="22"/>
      <c r="H19" s="22"/>
      <c r="I19" s="22">
        <f>SUM(I7:I18)</f>
        <v>0</v>
      </c>
      <c r="J19" s="22">
        <f>SUM(J7:J18)</f>
        <v>0</v>
      </c>
      <c r="K19" s="21">
        <f>AVERAGE(K7:K18)</f>
        <v>0</v>
      </c>
      <c r="L19" s="22"/>
      <c r="M19" s="22"/>
    </row>
    <row r="21" spans="2:13" x14ac:dyDescent="0.25">
      <c r="E21" s="12" t="s">
        <v>298</v>
      </c>
    </row>
  </sheetData>
  <autoFilter ref="B6:M18"/>
  <mergeCells count="3">
    <mergeCell ref="A2:I2"/>
    <mergeCell ref="A3:I3"/>
    <mergeCell ref="J2:M3"/>
  </mergeCells>
  <conditionalFormatting sqref="I7:I18">
    <cfRule type="dataBar" priority="2">
      <dataBar>
        <cfvo type="min"/>
        <cfvo type="max"/>
        <color rgb="FF24A5D9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K7:K18">
    <cfRule type="dataBar" priority="1">
      <dataBar>
        <cfvo type="num" val="0"/>
        <cfvo type="num" val="100"/>
        <color rgb="FF16A34A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24A5D9"/>
              <x14:negativeFillColor rgb="FFFF0000"/>
              <x14:negativeBorderColor rgb="FFFF0000"/>
              <x14:axisColor rgb="FF000000"/>
            </x14:dataBar>
          </x14:cfRule>
          <xm:sqref>I7:I18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100</xm:f>
              </x14:cfvo>
              <x14:borderColor rgb="FF16A34A"/>
              <x14:negativeFillColor rgb="FFFF0000"/>
              <x14:negativeBorderColor rgb="FFFF0000"/>
              <x14:axisColor rgb="FF000000"/>
            </x14:dataBar>
          </x14:cfRule>
          <xm:sqref>K7:K18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34A"/>
  </sheetPr>
  <dimension ref="A1:G44"/>
  <sheetViews>
    <sheetView showGridLines="0" workbookViewId="0"/>
  </sheetViews>
  <sheetFormatPr defaultRowHeight="15"/>
  <cols>
    <col min="1" max="1" width="2.7109375" customWidth="1"/>
    <col min="2" max="2" width="46.7109375" customWidth="1"/>
    <col min="3" max="5" width="18.7109375" customWidth="1"/>
    <col min="6" max="6" width="44.7109375" customWidth="1"/>
  </cols>
  <sheetData>
    <row r="1" spans="1:7" ht="8" customHeight="1"/>
    <row r="2" spans="1:7" ht="30" customHeight="1">
      <c r="A2" s="1" t="s">
        <v>299</v>
      </c>
      <c r="B2" s="1"/>
      <c r="C2" s="1"/>
      <c r="D2" s="2" t="s">
        <v>2</v>
      </c>
      <c r="E2" s="2"/>
      <c r="F2" s="2"/>
      <c r="G2" s="2"/>
    </row>
    <row r="3" spans="1:7" ht="18" customHeight="1">
      <c r="A3" s="3" t="s">
        <v>300</v>
      </c>
      <c r="B3" s="3"/>
      <c r="C3" s="3"/>
      <c r="D3" s="2"/>
      <c r="E3" s="2"/>
      <c r="F3" s="2"/>
      <c r="G3" s="2"/>
    </row>
    <row r="4" spans="1:7" ht="8" customHeight="1"/>
    <row r="6" spans="1:7">
      <c r="B6" s="11" t="s">
        <v>301</v>
      </c>
    </row>
    <row r="7" spans="1:7">
      <c r="B7" s="26" t="s">
        <v>302</v>
      </c>
      <c r="C7" s="41">
        <v>5.85</v>
      </c>
    </row>
    <row r="8" spans="1:7">
      <c r="B8" s="26" t="s">
        <v>303</v>
      </c>
      <c r="C8" s="41">
        <v>6.03</v>
      </c>
    </row>
    <row r="9" spans="1:7">
      <c r="B9" s="26" t="s">
        <v>304</v>
      </c>
      <c r="C9" s="41">
        <v>164676505</v>
      </c>
    </row>
    <row r="10" spans="1:7">
      <c r="B10" s="26" t="s">
        <v>305</v>
      </c>
      <c r="C10" s="41">
        <v>10777367</v>
      </c>
    </row>
    <row r="11" spans="1:7">
      <c r="B11" s="26" t="s">
        <v>306</v>
      </c>
      <c r="C11" s="41">
        <v>88017440</v>
      </c>
    </row>
    <row r="12" spans="1:7">
      <c r="B12" s="26" t="s">
        <v>307</v>
      </c>
      <c r="C12" s="41">
        <v>22480310</v>
      </c>
    </row>
    <row r="13" spans="1:7">
      <c r="B13" s="26" t="s">
        <v>308</v>
      </c>
      <c r="C13" s="41">
        <v>1462.5</v>
      </c>
    </row>
    <row r="16" spans="1:7">
      <c r="B16" s="11" t="s">
        <v>309</v>
      </c>
      <c r="F16" s="12" t="s">
        <v>310</v>
      </c>
    </row>
    <row r="17" spans="2:6" ht="26" customHeight="1">
      <c r="B17" s="24" t="s">
        <v>311</v>
      </c>
      <c r="C17" s="13" t="s">
        <v>312</v>
      </c>
      <c r="D17" s="13" t="s">
        <v>70</v>
      </c>
    </row>
    <row r="18" spans="2:6">
      <c r="B18" s="26" t="s">
        <v>313</v>
      </c>
      <c r="C18" s="18">
        <f>(C9+C11)*C7/100</f>
        <v>0</v>
      </c>
      <c r="D18" s="15" t="s">
        <v>103</v>
      </c>
    </row>
    <row r="19" spans="2:6">
      <c r="B19" s="26" t="s">
        <v>314</v>
      </c>
      <c r="C19" s="18">
        <f>C18-C10</f>
        <v>0</v>
      </c>
      <c r="D19" s="15" t="s">
        <v>103</v>
      </c>
    </row>
    <row r="20" spans="2:6">
      <c r="B20" s="26" t="s">
        <v>315</v>
      </c>
      <c r="C20" s="16">
        <f>C19/C11*100</f>
        <v>0</v>
      </c>
      <c r="D20" s="15" t="s">
        <v>316</v>
      </c>
    </row>
    <row r="21" spans="2:6">
      <c r="B21" s="26" t="s">
        <v>317</v>
      </c>
      <c r="C21" s="18">
        <f>C11*C8/100</f>
        <v>0</v>
      </c>
      <c r="D21" s="15" t="s">
        <v>103</v>
      </c>
    </row>
    <row r="22" spans="2:6">
      <c r="B22" s="26" t="s">
        <v>318</v>
      </c>
      <c r="C22" s="18">
        <f>C21-C19</f>
        <v>0</v>
      </c>
      <c r="D22" s="15" t="s">
        <v>103</v>
      </c>
    </row>
    <row r="23" spans="2:6">
      <c r="B23" s="26" t="s">
        <v>319</v>
      </c>
      <c r="C23" s="18">
        <f>C22/4</f>
        <v>0</v>
      </c>
      <c r="D23" s="15" t="s">
        <v>320</v>
      </c>
    </row>
    <row r="24" spans="2:6">
      <c r="B24" s="26" t="s">
        <v>321</v>
      </c>
      <c r="C24" s="19">
        <f>C22*C13</f>
        <v>0</v>
      </c>
      <c r="D24" s="15" t="s">
        <v>322</v>
      </c>
    </row>
    <row r="26" spans="2:6">
      <c r="B26" s="11" t="s">
        <v>323</v>
      </c>
      <c r="F26" s="12" t="s">
        <v>324</v>
      </c>
    </row>
    <row r="27" spans="2:6" ht="26" customHeight="1">
      <c r="B27" s="24" t="s">
        <v>311</v>
      </c>
      <c r="C27" s="13" t="s">
        <v>312</v>
      </c>
      <c r="D27" s="13" t="s">
        <v>70</v>
      </c>
    </row>
    <row r="28" spans="2:6">
      <c r="B28" s="26" t="s">
        <v>325</v>
      </c>
      <c r="C28" s="17">
        <f>C8-C7</f>
        <v>0</v>
      </c>
      <c r="D28" s="15" t="s">
        <v>326</v>
      </c>
    </row>
    <row r="29" spans="2:6">
      <c r="B29" s="26" t="s">
        <v>327</v>
      </c>
      <c r="C29" s="18">
        <f>C12*C7/100</f>
        <v>0</v>
      </c>
      <c r="D29" s="15" t="s">
        <v>103</v>
      </c>
    </row>
    <row r="30" spans="2:6">
      <c r="B30" s="26" t="s">
        <v>328</v>
      </c>
      <c r="C30" s="18">
        <f>C12*C8/100</f>
        <v>0</v>
      </c>
      <c r="D30" s="15" t="s">
        <v>103</v>
      </c>
    </row>
    <row r="31" spans="2:6">
      <c r="B31" s="26" t="s">
        <v>329</v>
      </c>
      <c r="C31" s="18">
        <f>C30-C29</f>
        <v>0</v>
      </c>
      <c r="D31" s="15" t="s">
        <v>103</v>
      </c>
    </row>
    <row r="32" spans="2:6">
      <c r="B32" s="26" t="s">
        <v>321</v>
      </c>
      <c r="C32" s="19">
        <f>C31*C13</f>
        <v>0</v>
      </c>
      <c r="D32" s="15" t="s">
        <v>322</v>
      </c>
    </row>
    <row r="34" spans="2:6">
      <c r="B34" s="11" t="s">
        <v>330</v>
      </c>
    </row>
    <row r="35" spans="2:6">
      <c r="B35" s="26" t="s">
        <v>331</v>
      </c>
      <c r="C35" s="18">
        <f>'WORK PLAN'!P29</f>
        <v>1926702</v>
      </c>
      <c r="D35" s="15" t="s">
        <v>103</v>
      </c>
    </row>
    <row r="36" spans="2:6">
      <c r="B36" s="26" t="s">
        <v>332</v>
      </c>
      <c r="C36" s="18">
        <f>C22</f>
        <v>1302223</v>
      </c>
      <c r="D36" s="15" t="s">
        <v>103</v>
      </c>
    </row>
    <row r="37" spans="2:6">
      <c r="B37" s="14" t="s">
        <v>333</v>
      </c>
      <c r="C37" s="17">
        <f>C35/C36</f>
        <v>0</v>
      </c>
      <c r="D37" s="15" t="s">
        <v>334</v>
      </c>
    </row>
    <row r="38" spans="2:6" ht="34" customHeight="1">
      <c r="B38" s="42" t="s">
        <v>335</v>
      </c>
      <c r="C38" s="42"/>
      <c r="D38" s="42"/>
      <c r="E38" s="42"/>
      <c r="F38" s="42"/>
    </row>
    <row r="41" spans="2:6">
      <c r="B41" s="11" t="s">
        <v>336</v>
      </c>
    </row>
    <row r="42" spans="2:6" ht="30" customHeight="1">
      <c r="B42" s="43" t="s">
        <v>337</v>
      </c>
      <c r="C42" s="43"/>
      <c r="D42" s="43"/>
      <c r="E42" s="43"/>
      <c r="F42" s="43"/>
    </row>
    <row r="43" spans="2:6" ht="30" customHeight="1">
      <c r="B43" s="43" t="s">
        <v>338</v>
      </c>
      <c r="C43" s="43"/>
      <c r="D43" s="43"/>
      <c r="E43" s="43"/>
      <c r="F43" s="43"/>
    </row>
    <row r="44" spans="2:6" ht="30" customHeight="1">
      <c r="B44" s="43" t="s">
        <v>339</v>
      </c>
      <c r="C44" s="43"/>
      <c r="D44" s="43"/>
      <c r="E44" s="43"/>
      <c r="F44" s="43"/>
    </row>
  </sheetData>
  <mergeCells count="7">
    <mergeCell ref="A2:C2"/>
    <mergeCell ref="A3:C3"/>
    <mergeCell ref="D2:G3"/>
    <mergeCell ref="B38:F38"/>
    <mergeCell ref="B42:F42"/>
    <mergeCell ref="B43:F43"/>
    <mergeCell ref="B44:F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4748B"/>
  </sheetPr>
  <dimension ref="B2:O13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3" width="16.7109375" customWidth="1"/>
    <col min="6" max="6" width="30.7109375" customWidth="1"/>
    <col min="7" max="7" width="16.7109375" customWidth="1"/>
    <col min="10" max="10" width="24.7109375" customWidth="1"/>
    <col min="11" max="11" width="12.7109375" customWidth="1"/>
    <col min="14" max="14" width="16.7109375" customWidth="1"/>
    <col min="15" max="15" width="12.7109375" customWidth="1"/>
  </cols>
  <sheetData>
    <row r="2" spans="2:15">
      <c r="B2" s="11" t="s">
        <v>340</v>
      </c>
    </row>
    <row r="3" spans="2:15">
      <c r="B3" s="24" t="s">
        <v>341</v>
      </c>
      <c r="C3" s="13" t="s">
        <v>139</v>
      </c>
      <c r="F3" s="24" t="s">
        <v>352</v>
      </c>
      <c r="G3" s="13" t="s">
        <v>103</v>
      </c>
      <c r="J3" s="24" t="s">
        <v>357</v>
      </c>
      <c r="K3" s="13" t="s">
        <v>39</v>
      </c>
      <c r="N3" s="24" t="s">
        <v>129</v>
      </c>
      <c r="O3" s="13" t="s">
        <v>368</v>
      </c>
    </row>
    <row r="4" spans="2:15">
      <c r="B4" s="26" t="s">
        <v>342</v>
      </c>
      <c r="C4" s="18">
        <v>475333</v>
      </c>
      <c r="F4" s="26" t="s">
        <v>353</v>
      </c>
      <c r="G4" s="18">
        <v>255517</v>
      </c>
      <c r="J4" s="26" t="s">
        <v>358</v>
      </c>
      <c r="K4" s="16">
        <v>7.94</v>
      </c>
      <c r="N4" s="26" t="s">
        <v>141</v>
      </c>
      <c r="O4" s="16">
        <v>71.2</v>
      </c>
    </row>
    <row r="5" spans="2:15">
      <c r="B5" s="26" t="s">
        <v>343</v>
      </c>
      <c r="C5" s="18">
        <v>143981</v>
      </c>
      <c r="F5" s="26" t="s">
        <v>354</v>
      </c>
      <c r="G5" s="18">
        <v>218556</v>
      </c>
      <c r="J5" s="26" t="s">
        <v>359</v>
      </c>
      <c r="K5" s="16">
        <v>7.41</v>
      </c>
      <c r="N5" s="26" t="s">
        <v>143</v>
      </c>
      <c r="O5" s="16">
        <v>78.25</v>
      </c>
    </row>
    <row r="6" spans="2:15">
      <c r="B6" s="26" t="s">
        <v>344</v>
      </c>
      <c r="C6" s="18">
        <v>117690</v>
      </c>
      <c r="F6" s="26" t="s">
        <v>223</v>
      </c>
      <c r="G6" s="18">
        <v>175011</v>
      </c>
      <c r="J6" s="26" t="s">
        <v>360</v>
      </c>
      <c r="K6" s="16">
        <v>6.88</v>
      </c>
    </row>
    <row r="7" spans="2:15">
      <c r="B7" s="26" t="s">
        <v>345</v>
      </c>
      <c r="C7" s="18">
        <v>112640</v>
      </c>
      <c r="F7" s="26" t="s">
        <v>355</v>
      </c>
      <c r="G7" s="18">
        <v>116471</v>
      </c>
      <c r="J7" s="26" t="s">
        <v>361</v>
      </c>
      <c r="K7" s="16">
        <v>6.42</v>
      </c>
    </row>
    <row r="8" spans="2:15">
      <c r="B8" s="26" t="s">
        <v>346</v>
      </c>
      <c r="C8" s="18">
        <v>110894</v>
      </c>
      <c r="F8" s="26" t="s">
        <v>356</v>
      </c>
      <c r="G8" s="18">
        <v>33276</v>
      </c>
      <c r="J8" s="26" t="s">
        <v>362</v>
      </c>
      <c r="K8" s="16">
        <v>5.97</v>
      </c>
    </row>
    <row r="9" spans="2:15">
      <c r="B9" s="26" t="s">
        <v>347</v>
      </c>
      <c r="C9" s="18">
        <v>94875</v>
      </c>
      <c r="J9" s="26" t="s">
        <v>363</v>
      </c>
      <c r="K9" s="16">
        <v>5.63</v>
      </c>
    </row>
    <row r="10" spans="2:15">
      <c r="B10" s="26" t="s">
        <v>348</v>
      </c>
      <c r="C10" s="18">
        <v>93558</v>
      </c>
      <c r="J10" s="26" t="s">
        <v>364</v>
      </c>
      <c r="K10" s="16">
        <v>5.35</v>
      </c>
    </row>
    <row r="11" spans="2:15">
      <c r="B11" s="26" t="s">
        <v>349</v>
      </c>
      <c r="C11" s="18">
        <v>90510</v>
      </c>
      <c r="J11" s="26" t="s">
        <v>365</v>
      </c>
      <c r="K11" s="16">
        <v>5.11</v>
      </c>
    </row>
    <row r="12" spans="2:15">
      <c r="B12" s="26" t="s">
        <v>350</v>
      </c>
      <c r="C12" s="18">
        <v>89008</v>
      </c>
      <c r="J12" s="26" t="s">
        <v>366</v>
      </c>
      <c r="K12" s="16">
        <v>4.86</v>
      </c>
    </row>
    <row r="13" spans="2:15">
      <c r="B13" s="26" t="s">
        <v>351</v>
      </c>
      <c r="C13" s="18">
        <v>85008</v>
      </c>
      <c r="J13" s="26" t="s">
        <v>367</v>
      </c>
      <c r="K13" s="16">
        <v>4.52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F172A"/>
  </sheetPr>
  <dimension ref="A1:G45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3" width="96.7109375" customWidth="1"/>
  </cols>
  <sheetData>
    <row r="1" spans="1:7" ht="8" customHeight="1"/>
    <row r="2" spans="1:7" ht="30" customHeight="1">
      <c r="A2" s="1" t="s">
        <v>369</v>
      </c>
      <c r="B2" s="1"/>
      <c r="C2" s="1"/>
      <c r="D2" s="2" t="s">
        <v>2</v>
      </c>
      <c r="E2" s="2"/>
      <c r="F2" s="2"/>
      <c r="G2" s="2"/>
    </row>
    <row r="3" spans="1:7" ht="18" customHeight="1">
      <c r="A3" s="3" t="s">
        <v>370</v>
      </c>
      <c r="B3" s="3"/>
      <c r="C3" s="3"/>
      <c r="D3" s="2"/>
      <c r="E3" s="2"/>
      <c r="F3" s="2"/>
      <c r="G3" s="2"/>
    </row>
    <row r="4" spans="1:7" ht="8" customHeight="1"/>
    <row r="6" spans="1:7">
      <c r="B6" s="11" t="s">
        <v>371</v>
      </c>
    </row>
    <row r="7" spans="1:7" ht="34" customHeight="1">
      <c r="B7" s="14" t="s">
        <v>372</v>
      </c>
      <c r="C7" s="35" t="s">
        <v>373</v>
      </c>
    </row>
    <row r="8" spans="1:7" ht="34" customHeight="1">
      <c r="B8" s="14" t="s">
        <v>374</v>
      </c>
      <c r="C8" s="35" t="s">
        <v>375</v>
      </c>
    </row>
    <row r="9" spans="1:7" ht="34" customHeight="1">
      <c r="B9" s="14" t="s">
        <v>376</v>
      </c>
      <c r="C9" s="35" t="s">
        <v>377</v>
      </c>
    </row>
    <row r="10" spans="1:7" ht="34" customHeight="1">
      <c r="B10" s="14" t="s">
        <v>378</v>
      </c>
      <c r="C10" s="35" t="s">
        <v>379</v>
      </c>
    </row>
    <row r="11" spans="1:7" ht="34" customHeight="1">
      <c r="B11" s="14" t="s">
        <v>380</v>
      </c>
      <c r="C11" s="35" t="s">
        <v>381</v>
      </c>
    </row>
    <row r="12" spans="1:7" ht="34" customHeight="1">
      <c r="B12" s="14" t="s">
        <v>382</v>
      </c>
      <c r="C12" s="35" t="s">
        <v>383</v>
      </c>
    </row>
    <row r="14" spans="1:7">
      <c r="B14" s="11" t="s">
        <v>384</v>
      </c>
    </row>
    <row r="15" spans="1:7">
      <c r="B15" s="14" t="s">
        <v>385</v>
      </c>
      <c r="C15" s="35" t="s">
        <v>386</v>
      </c>
    </row>
    <row r="16" spans="1:7">
      <c r="B16" s="14" t="s">
        <v>387</v>
      </c>
      <c r="C16" s="35" t="s">
        <v>388</v>
      </c>
    </row>
    <row r="17" spans="2:3">
      <c r="B17" s="14" t="s">
        <v>389</v>
      </c>
      <c r="C17" s="35" t="s">
        <v>390</v>
      </c>
    </row>
    <row r="18" spans="2:3">
      <c r="B18" s="14" t="s">
        <v>391</v>
      </c>
      <c r="C18" s="35" t="s">
        <v>392</v>
      </c>
    </row>
    <row r="19" spans="2:3">
      <c r="B19" s="14" t="s">
        <v>393</v>
      </c>
      <c r="C19" s="35" t="s">
        <v>394</v>
      </c>
    </row>
    <row r="20" spans="2:3">
      <c r="B20" s="14" t="s">
        <v>395</v>
      </c>
      <c r="C20" s="35" t="s">
        <v>396</v>
      </c>
    </row>
    <row r="21" spans="2:3">
      <c r="B21" s="14" t="s">
        <v>397</v>
      </c>
      <c r="C21" s="35" t="s">
        <v>398</v>
      </c>
    </row>
    <row r="22" spans="2:3">
      <c r="B22" s="14" t="s">
        <v>399</v>
      </c>
      <c r="C22" s="35" t="s">
        <v>400</v>
      </c>
    </row>
    <row r="23" spans="2:3">
      <c r="B23" s="14" t="s">
        <v>401</v>
      </c>
      <c r="C23" s="35" t="s">
        <v>402</v>
      </c>
    </row>
    <row r="25" spans="2:3">
      <c r="B25" s="11" t="s">
        <v>403</v>
      </c>
    </row>
    <row r="26" spans="2:3" ht="28" customHeight="1">
      <c r="B26" s="14" t="s">
        <v>404</v>
      </c>
      <c r="C26" s="35" t="s">
        <v>405</v>
      </c>
    </row>
    <row r="27" spans="2:3" ht="28" customHeight="1">
      <c r="B27" s="14" t="s">
        <v>406</v>
      </c>
      <c r="C27" s="35" t="s">
        <v>407</v>
      </c>
    </row>
    <row r="28" spans="2:3" ht="28" customHeight="1">
      <c r="B28" s="14" t="s">
        <v>408</v>
      </c>
      <c r="C28" s="35" t="s">
        <v>409</v>
      </c>
    </row>
    <row r="29" spans="2:3" ht="28" customHeight="1">
      <c r="B29" s="14" t="s">
        <v>410</v>
      </c>
      <c r="C29" s="35" t="s">
        <v>411</v>
      </c>
    </row>
    <row r="30" spans="2:3" ht="28" customHeight="1">
      <c r="B30" s="14" t="s">
        <v>412</v>
      </c>
      <c r="C30" s="35" t="s">
        <v>413</v>
      </c>
    </row>
    <row r="31" spans="2:3" ht="28" customHeight="1">
      <c r="B31" s="14" t="s">
        <v>414</v>
      </c>
      <c r="C31" s="35" t="s">
        <v>415</v>
      </c>
    </row>
    <row r="32" spans="2:3" ht="28" customHeight="1">
      <c r="B32" s="14" t="s">
        <v>416</v>
      </c>
      <c r="C32" s="35" t="s">
        <v>417</v>
      </c>
    </row>
    <row r="33" spans="2:3" ht="28" customHeight="1">
      <c r="B33" s="14" t="s">
        <v>395</v>
      </c>
      <c r="C33" s="35" t="s">
        <v>418</v>
      </c>
    </row>
    <row r="34" spans="2:3" ht="28" customHeight="1">
      <c r="B34" s="14" t="s">
        <v>419</v>
      </c>
      <c r="C34" s="35" t="s">
        <v>420</v>
      </c>
    </row>
    <row r="36" spans="2:3">
      <c r="B36" s="11" t="s">
        <v>421</v>
      </c>
    </row>
    <row r="37" spans="2:3">
      <c r="B37" s="14" t="s">
        <v>422</v>
      </c>
      <c r="C37" s="35" t="s">
        <v>423</v>
      </c>
    </row>
    <row r="38" spans="2:3">
      <c r="B38" s="14" t="s">
        <v>424</v>
      </c>
      <c r="C38" s="35" t="s">
        <v>425</v>
      </c>
    </row>
    <row r="39" spans="2:3">
      <c r="B39" s="14" t="s">
        <v>426</v>
      </c>
      <c r="C39" s="35" t="s">
        <v>427</v>
      </c>
    </row>
    <row r="40" spans="2:3">
      <c r="B40" s="14" t="s">
        <v>428</v>
      </c>
      <c r="C40" s="35" t="s">
        <v>429</v>
      </c>
    </row>
    <row r="41" spans="2:3">
      <c r="B41" s="14" t="s">
        <v>430</v>
      </c>
      <c r="C41" s="35" t="s">
        <v>431</v>
      </c>
    </row>
    <row r="42" spans="2:3">
      <c r="B42" s="14" t="s">
        <v>432</v>
      </c>
      <c r="C42" s="35" t="s">
        <v>433</v>
      </c>
    </row>
    <row r="45" spans="2:3" ht="46" customHeight="1">
      <c r="B45" s="44" t="s">
        <v>34</v>
      </c>
      <c r="C45" s="44"/>
    </row>
  </sheetData>
  <mergeCells count="4">
    <mergeCell ref="A2:C2"/>
    <mergeCell ref="A3:C3"/>
    <mergeCell ref="D2:G3"/>
    <mergeCell ref="B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NERACA ENERGI</vt:lpstr>
      <vt:lpstr>INPUT REALISASI</vt:lpstr>
      <vt:lpstr>WORK PLAN</vt:lpstr>
      <vt:lpstr>ANALISIS TEKNIS</vt:lpstr>
      <vt:lpstr>P2TL</vt:lpstr>
      <vt:lpstr>RENCANA AKSI</vt:lpstr>
      <vt:lpstr>SIMULASI TARGET</vt:lpstr>
      <vt:lpstr>DATA GRAFIK</vt:lpstr>
      <vt:lpstr>PANDUAN</vt:lpstr>
    </vt:vector>
  </TitlesOfParts>
  <Company>UP3 Balikpapan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Dashboard Monitoring Susut ULP Samboja</dc:title>
  <dc:subject>Monitoring susut teknis &amp; non-teknis</dc:subject>
  <dc:creator>ULP Samboja</dc:creator>
  <dc:description>Data pada berkas ini adalah CONTOH untuk keperluan pembangunan dashboard. Ganti dengan data riil dari AP2T, XPower, Aplikasi P2TL, dan SCADA/AMR.</dc:description>
  <cp:lastModifiedBy>ULP Samboja</cp:lastModifiedBy>
  <dcterms:created xsi:type="dcterms:W3CDTF">2026-08-01T00:00:00Z</dcterms:created>
  <dcterms:modified xsi:type="dcterms:W3CDTF">2026-08-01T00:00:00Z</dcterms:modified>
</cp:coreProperties>
</file>